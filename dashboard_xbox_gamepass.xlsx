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1D54A080-C3DA-40B6-9816-834F5BE43F5A}" xr6:coauthVersionLast="47" xr6:coauthVersionMax="47" xr10:uidLastSave="{00000000-0000-0000-0000-000000000000}"/>
  <bookViews>
    <workbookView xWindow="-120" yWindow="-120" windowWidth="29040" windowHeight="15720" tabRatio="0" firstSheet="3" activeTab="3" xr2:uid="{1B8FC1A9-FEBF-4266-BEAD-92AF9DE2300D}"/>
  </bookViews>
  <sheets>
    <sheet name="Assets" sheetId="1" state="hidden" r:id="rId1"/>
    <sheet name="Bases" sheetId="2" state="hidden" r:id="rId2"/>
    <sheet name="Cálculos" sheetId="3" state="hidden" r:id="rId3"/>
    <sheet name="Dashboard" sheetId="4" r:id="rId4"/>
  </sheets>
  <definedNames>
    <definedName name="SegmentaçãodeDados_Plano">#N/A</definedName>
  </definedNames>
  <calcPr calcId="191029"/>
  <pivotCaches>
    <pivotCache cacheId="0" r:id="rId5"/>
    <pivotCache cacheId="1" r:id="rId6"/>
    <pivotCache cacheId="2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B34" i="3"/>
  <c r="B42" i="3"/>
  <c r="B50" i="3"/>
  <c r="B58" i="3"/>
  <c r="B66" i="3"/>
  <c r="B74" i="3"/>
  <c r="B82" i="3"/>
  <c r="B90" i="3"/>
  <c r="B98" i="3"/>
  <c r="H6" i="2"/>
  <c r="B6" i="3" s="1"/>
  <c r="H7" i="2"/>
  <c r="B7" i="3" s="1"/>
  <c r="H10" i="2"/>
  <c r="B10" i="3" s="1"/>
  <c r="H14" i="2"/>
  <c r="B14" i="3" s="1"/>
  <c r="H15" i="2"/>
  <c r="B15" i="3" s="1"/>
  <c r="H18" i="2"/>
  <c r="B18" i="3" s="1"/>
  <c r="H22" i="2"/>
  <c r="B22" i="3" s="1"/>
  <c r="H23" i="2"/>
  <c r="B23" i="3" s="1"/>
  <c r="H26" i="2"/>
  <c r="B26" i="3" s="1"/>
  <c r="H30" i="2"/>
  <c r="B30" i="3" s="1"/>
  <c r="H31" i="2"/>
  <c r="B31" i="3" s="1"/>
  <c r="H34" i="2"/>
  <c r="H38" i="2"/>
  <c r="B38" i="3" s="1"/>
  <c r="H39" i="2"/>
  <c r="B39" i="3" s="1"/>
  <c r="H42" i="2"/>
  <c r="H46" i="2"/>
  <c r="B46" i="3" s="1"/>
  <c r="H47" i="2"/>
  <c r="B47" i="3" s="1"/>
  <c r="H50" i="2"/>
  <c r="H54" i="2"/>
  <c r="B54" i="3" s="1"/>
  <c r="H55" i="2"/>
  <c r="B55" i="3" s="1"/>
  <c r="H58" i="2"/>
  <c r="H62" i="2"/>
  <c r="B62" i="3" s="1"/>
  <c r="H66" i="2"/>
  <c r="H70" i="2"/>
  <c r="B70" i="3" s="1"/>
  <c r="H71" i="2"/>
  <c r="B71" i="3" s="1"/>
  <c r="H74" i="2"/>
  <c r="H78" i="2"/>
  <c r="B78" i="3" s="1"/>
  <c r="H79" i="2"/>
  <c r="B79" i="3" s="1"/>
  <c r="H82" i="2"/>
  <c r="H86" i="2"/>
  <c r="B86" i="3" s="1"/>
  <c r="H87" i="2"/>
  <c r="B87" i="3" s="1"/>
  <c r="H90" i="2"/>
  <c r="H94" i="2"/>
  <c r="B94" i="3" s="1"/>
  <c r="H95" i="2"/>
  <c r="B95" i="3" s="1"/>
  <c r="H98" i="2"/>
  <c r="F3" i="2"/>
  <c r="H3" i="2" s="1"/>
  <c r="B3" i="3" s="1"/>
  <c r="F4" i="2"/>
  <c r="H4" i="2" s="1"/>
  <c r="B4" i="3" s="1"/>
  <c r="F5" i="2"/>
  <c r="H5" i="2" s="1"/>
  <c r="B5" i="3" s="1"/>
  <c r="F6" i="2"/>
  <c r="F7" i="2"/>
  <c r="F8" i="2"/>
  <c r="H8" i="2" s="1"/>
  <c r="B8" i="3" s="1"/>
  <c r="F9" i="2"/>
  <c r="F10" i="2"/>
  <c r="F11" i="2"/>
  <c r="H11" i="2" s="1"/>
  <c r="B11" i="3" s="1"/>
  <c r="F12" i="2"/>
  <c r="H12" i="2" s="1"/>
  <c r="B12" i="3" s="1"/>
  <c r="F13" i="2"/>
  <c r="H13" i="2" s="1"/>
  <c r="B13" i="3" s="1"/>
  <c r="F14" i="2"/>
  <c r="F15" i="2"/>
  <c r="F16" i="2"/>
  <c r="H16" i="2" s="1"/>
  <c r="B16" i="3" s="1"/>
  <c r="F17" i="2"/>
  <c r="F18" i="2"/>
  <c r="F19" i="2"/>
  <c r="H19" i="2" s="1"/>
  <c r="B19" i="3" s="1"/>
  <c r="F20" i="2"/>
  <c r="H20" i="2" s="1"/>
  <c r="B20" i="3" s="1"/>
  <c r="F21" i="2"/>
  <c r="H21" i="2" s="1"/>
  <c r="B21" i="3" s="1"/>
  <c r="F22" i="2"/>
  <c r="F23" i="2"/>
  <c r="F24" i="2"/>
  <c r="H24" i="2" s="1"/>
  <c r="B24" i="3" s="1"/>
  <c r="F25" i="2"/>
  <c r="F26" i="2"/>
  <c r="F27" i="2"/>
  <c r="H27" i="2" s="1"/>
  <c r="B27" i="3" s="1"/>
  <c r="F28" i="2"/>
  <c r="H28" i="2" s="1"/>
  <c r="B28" i="3" s="1"/>
  <c r="F29" i="2"/>
  <c r="H29" i="2" s="1"/>
  <c r="B29" i="3" s="1"/>
  <c r="F30" i="2"/>
  <c r="F31" i="2"/>
  <c r="F32" i="2"/>
  <c r="H32" i="2" s="1"/>
  <c r="B32" i="3" s="1"/>
  <c r="F33" i="2"/>
  <c r="F34" i="2"/>
  <c r="F35" i="2"/>
  <c r="H35" i="2" s="1"/>
  <c r="B35" i="3" s="1"/>
  <c r="F36" i="2"/>
  <c r="H36" i="2" s="1"/>
  <c r="B36" i="3" s="1"/>
  <c r="F37" i="2"/>
  <c r="H37" i="2" s="1"/>
  <c r="B37" i="3" s="1"/>
  <c r="F38" i="2"/>
  <c r="F39" i="2"/>
  <c r="F40" i="2"/>
  <c r="H40" i="2" s="1"/>
  <c r="B40" i="3" s="1"/>
  <c r="F41" i="2"/>
  <c r="F42" i="2"/>
  <c r="F43" i="2"/>
  <c r="H43" i="2" s="1"/>
  <c r="B43" i="3" s="1"/>
  <c r="F44" i="2"/>
  <c r="H44" i="2" s="1"/>
  <c r="B44" i="3" s="1"/>
  <c r="F45" i="2"/>
  <c r="H45" i="2" s="1"/>
  <c r="B45" i="3" s="1"/>
  <c r="F46" i="2"/>
  <c r="F47" i="2"/>
  <c r="F48" i="2"/>
  <c r="H48" i="2" s="1"/>
  <c r="B48" i="3" s="1"/>
  <c r="F49" i="2"/>
  <c r="F50" i="2"/>
  <c r="F51" i="2"/>
  <c r="H51" i="2" s="1"/>
  <c r="B51" i="3" s="1"/>
  <c r="F52" i="2"/>
  <c r="H52" i="2" s="1"/>
  <c r="B52" i="3" s="1"/>
  <c r="F53" i="2"/>
  <c r="H53" i="2" s="1"/>
  <c r="B53" i="3" s="1"/>
  <c r="F54" i="2"/>
  <c r="F55" i="2"/>
  <c r="F56" i="2"/>
  <c r="H56" i="2" s="1"/>
  <c r="B56" i="3" s="1"/>
  <c r="F57" i="2"/>
  <c r="F58" i="2"/>
  <c r="F59" i="2"/>
  <c r="H59" i="2" s="1"/>
  <c r="B59" i="3" s="1"/>
  <c r="F60" i="2"/>
  <c r="H60" i="2" s="1"/>
  <c r="B60" i="3" s="1"/>
  <c r="F61" i="2"/>
  <c r="H61" i="2" s="1"/>
  <c r="B61" i="3" s="1"/>
  <c r="F62" i="2"/>
  <c r="F63" i="2"/>
  <c r="H63" i="2" s="1"/>
  <c r="B63" i="3" s="1"/>
  <c r="F64" i="2"/>
  <c r="H64" i="2" s="1"/>
  <c r="B64" i="3" s="1"/>
  <c r="F65" i="2"/>
  <c r="F66" i="2"/>
  <c r="F67" i="2"/>
  <c r="H67" i="2" s="1"/>
  <c r="B67" i="3" s="1"/>
  <c r="F68" i="2"/>
  <c r="H68" i="2" s="1"/>
  <c r="B68" i="3" s="1"/>
  <c r="F69" i="2"/>
  <c r="H69" i="2" s="1"/>
  <c r="B69" i="3" s="1"/>
  <c r="F70" i="2"/>
  <c r="F71" i="2"/>
  <c r="F72" i="2"/>
  <c r="H72" i="2" s="1"/>
  <c r="B72" i="3" s="1"/>
  <c r="F73" i="2"/>
  <c r="F74" i="2"/>
  <c r="F75" i="2"/>
  <c r="H75" i="2" s="1"/>
  <c r="B75" i="3" s="1"/>
  <c r="F76" i="2"/>
  <c r="H76" i="2" s="1"/>
  <c r="B76" i="3" s="1"/>
  <c r="F77" i="2"/>
  <c r="H77" i="2" s="1"/>
  <c r="B77" i="3" s="1"/>
  <c r="F78" i="2"/>
  <c r="F79" i="2"/>
  <c r="F80" i="2"/>
  <c r="H80" i="2" s="1"/>
  <c r="B80" i="3" s="1"/>
  <c r="F81" i="2"/>
  <c r="F82" i="2"/>
  <c r="F83" i="2"/>
  <c r="H83" i="2" s="1"/>
  <c r="B83" i="3" s="1"/>
  <c r="F84" i="2"/>
  <c r="H84" i="2" s="1"/>
  <c r="B84" i="3" s="1"/>
  <c r="F85" i="2"/>
  <c r="H85" i="2" s="1"/>
  <c r="B85" i="3" s="1"/>
  <c r="F86" i="2"/>
  <c r="F87" i="2"/>
  <c r="F88" i="2"/>
  <c r="H88" i="2" s="1"/>
  <c r="B88" i="3" s="1"/>
  <c r="F89" i="2"/>
  <c r="F90" i="2"/>
  <c r="F91" i="2"/>
  <c r="H91" i="2" s="1"/>
  <c r="B91" i="3" s="1"/>
  <c r="F92" i="2"/>
  <c r="H92" i="2" s="1"/>
  <c r="B92" i="3" s="1"/>
  <c r="F93" i="2"/>
  <c r="H93" i="2" s="1"/>
  <c r="B93" i="3" s="1"/>
  <c r="F94" i="2"/>
  <c r="F95" i="2"/>
  <c r="F96" i="2"/>
  <c r="H96" i="2" s="1"/>
  <c r="B96" i="3" s="1"/>
  <c r="F97" i="2"/>
  <c r="F98" i="2"/>
  <c r="F99" i="2"/>
  <c r="H99" i="2" s="1"/>
  <c r="B99" i="3" s="1"/>
  <c r="F100" i="2"/>
  <c r="H100" i="2" s="1"/>
  <c r="B100" i="3" s="1"/>
  <c r="F2" i="2"/>
  <c r="H2" i="2" s="1"/>
  <c r="B2" i="3" s="1"/>
  <c r="G3" i="2"/>
  <c r="G4" i="2"/>
  <c r="G5" i="2"/>
  <c r="G6" i="2"/>
  <c r="G7" i="2"/>
  <c r="G8" i="2"/>
  <c r="G9" i="2"/>
  <c r="H9" i="2" s="1"/>
  <c r="B9" i="3" s="1"/>
  <c r="G10" i="2"/>
  <c r="G11" i="2"/>
  <c r="G12" i="2"/>
  <c r="G13" i="2"/>
  <c r="G14" i="2"/>
  <c r="G15" i="2"/>
  <c r="G16" i="2"/>
  <c r="G17" i="2"/>
  <c r="H17" i="2" s="1"/>
  <c r="B17" i="3" s="1"/>
  <c r="G18" i="2"/>
  <c r="G19" i="2"/>
  <c r="G20" i="2"/>
  <c r="G21" i="2"/>
  <c r="G22" i="2"/>
  <c r="G23" i="2"/>
  <c r="G24" i="2"/>
  <c r="G25" i="2"/>
  <c r="H25" i="2" s="1"/>
  <c r="B25" i="3" s="1"/>
  <c r="G26" i="2"/>
  <c r="G27" i="2"/>
  <c r="G28" i="2"/>
  <c r="G29" i="2"/>
  <c r="G30" i="2"/>
  <c r="G31" i="2"/>
  <c r="G32" i="2"/>
  <c r="G33" i="2"/>
  <c r="H33" i="2" s="1"/>
  <c r="B33" i="3" s="1"/>
  <c r="G34" i="2"/>
  <c r="G35" i="2"/>
  <c r="G36" i="2"/>
  <c r="G37" i="2"/>
  <c r="G38" i="2"/>
  <c r="G39" i="2"/>
  <c r="G40" i="2"/>
  <c r="G41" i="2"/>
  <c r="H41" i="2" s="1"/>
  <c r="B41" i="3" s="1"/>
  <c r="G42" i="2"/>
  <c r="G43" i="2"/>
  <c r="G44" i="2"/>
  <c r="G45" i="2"/>
  <c r="G46" i="2"/>
  <c r="G47" i="2"/>
  <c r="G48" i="2"/>
  <c r="G49" i="2"/>
  <c r="H49" i="2" s="1"/>
  <c r="B49" i="3" s="1"/>
  <c r="G50" i="2"/>
  <c r="G51" i="2"/>
  <c r="G52" i="2"/>
  <c r="G53" i="2"/>
  <c r="G54" i="2"/>
  <c r="G55" i="2"/>
  <c r="G56" i="2"/>
  <c r="G57" i="2"/>
  <c r="H57" i="2" s="1"/>
  <c r="B57" i="3" s="1"/>
  <c r="G58" i="2"/>
  <c r="G59" i="2"/>
  <c r="G60" i="2"/>
  <c r="G61" i="2"/>
  <c r="G62" i="2"/>
  <c r="G63" i="2"/>
  <c r="G64" i="2"/>
  <c r="G65" i="2"/>
  <c r="H65" i="2" s="1"/>
  <c r="B65" i="3" s="1"/>
  <c r="G66" i="2"/>
  <c r="G67" i="2"/>
  <c r="G68" i="2"/>
  <c r="G69" i="2"/>
  <c r="G70" i="2"/>
  <c r="G71" i="2"/>
  <c r="G72" i="2"/>
  <c r="G73" i="2"/>
  <c r="H73" i="2" s="1"/>
  <c r="B73" i="3" s="1"/>
  <c r="G74" i="2"/>
  <c r="G75" i="2"/>
  <c r="G76" i="2"/>
  <c r="G77" i="2"/>
  <c r="G78" i="2"/>
  <c r="G79" i="2"/>
  <c r="G80" i="2"/>
  <c r="G81" i="2"/>
  <c r="H81" i="2" s="1"/>
  <c r="B81" i="3" s="1"/>
  <c r="G82" i="2"/>
  <c r="G83" i="2"/>
  <c r="G84" i="2"/>
  <c r="G85" i="2"/>
  <c r="G86" i="2"/>
  <c r="G87" i="2"/>
  <c r="G88" i="2"/>
  <c r="G89" i="2"/>
  <c r="H89" i="2" s="1"/>
  <c r="B89" i="3" s="1"/>
  <c r="G90" i="2"/>
  <c r="G91" i="2"/>
  <c r="G92" i="2"/>
  <c r="G93" i="2"/>
  <c r="G94" i="2"/>
  <c r="G95" i="2"/>
  <c r="G96" i="2"/>
  <c r="G97" i="2"/>
  <c r="H97" i="2" s="1"/>
  <c r="B97" i="3" s="1"/>
  <c r="G98" i="2"/>
  <c r="G99" i="2"/>
  <c r="G100" i="2"/>
  <c r="G2" i="2"/>
  <c r="F2" i="3" l="1"/>
  <c r="D2" i="3"/>
</calcChain>
</file>

<file path=xl/sharedStrings.xml><?xml version="1.0" encoding="utf-8"?>
<sst xmlns="http://schemas.openxmlformats.org/spreadsheetml/2006/main" count="341" uniqueCount="136">
  <si>
    <t>Paleta de cores</t>
  </si>
  <si>
    <t>Preto</t>
  </si>
  <si>
    <t>#77bb44</t>
  </si>
  <si>
    <t>#107c10</t>
  </si>
  <si>
    <t>Cinza</t>
  </si>
  <si>
    <t>Xbox Verde Claro</t>
  </si>
  <si>
    <t>Xbox Verde Escuro</t>
  </si>
  <si>
    <t>#D0CECE</t>
  </si>
  <si>
    <t>#161616</t>
  </si>
  <si>
    <t>Logos</t>
  </si>
  <si>
    <t>Ícones</t>
  </si>
  <si>
    <t>ID de Assinatura do Usuário</t>
  </si>
  <si>
    <t>Nome</t>
  </si>
  <si>
    <t>Plano</t>
  </si>
  <si>
    <t>Data de Início</t>
  </si>
  <si>
    <t>Renovação Automática</t>
  </si>
  <si>
    <t>Preço de Assiatura</t>
  </si>
  <si>
    <t>Cupom de Desconto</t>
  </si>
  <si>
    <t>Valor Final</t>
  </si>
  <si>
    <t>Ultimate</t>
  </si>
  <si>
    <t>Sim</t>
  </si>
  <si>
    <t>Não</t>
  </si>
  <si>
    <t>Premium</t>
  </si>
  <si>
    <t>Ana Silva</t>
  </si>
  <si>
    <t>João Santos</t>
  </si>
  <si>
    <t>Maria Oliveira</t>
  </si>
  <si>
    <t>Pedro Costa</t>
  </si>
  <si>
    <t>Lucas Pereira</t>
  </si>
  <si>
    <t>Mariana Rodrigues</t>
  </si>
  <si>
    <t>Carlos Alves</t>
  </si>
  <si>
    <t>Fernanda Lima</t>
  </si>
  <si>
    <t>Rafael Gomes</t>
  </si>
  <si>
    <t>Juliana Ribeiro</t>
  </si>
  <si>
    <t>Bruno Araújo</t>
  </si>
  <si>
    <t>Camila Martins</t>
  </si>
  <si>
    <t>Diego Rocha</t>
  </si>
  <si>
    <t>Beatriz Nogueira</t>
  </si>
  <si>
    <t>André Teixeira</t>
  </si>
  <si>
    <t>Paula Fernandes</t>
  </si>
  <si>
    <t>Felipe Barros</t>
  </si>
  <si>
    <t>Renata Azevedo</t>
  </si>
  <si>
    <t>Thiago Pacheco</t>
  </si>
  <si>
    <t>Daniela Batista</t>
  </si>
  <si>
    <t>Eduardo Farias</t>
  </si>
  <si>
    <t>Patrícia Freitas</t>
  </si>
  <si>
    <t>Victor Moreira</t>
  </si>
  <si>
    <t>Gabriela Cunha</t>
  </si>
  <si>
    <t>Leonardo Torres</t>
  </si>
  <si>
    <t>Aline Guedes</t>
  </si>
  <si>
    <t>Matheus Macedo</t>
  </si>
  <si>
    <t>Tatiane Rangel</t>
  </si>
  <si>
    <t>Igor Tavares</t>
  </si>
  <si>
    <t>Vanessa Peixoto</t>
  </si>
  <si>
    <t>Daniel Neves</t>
  </si>
  <si>
    <t>Priscila Coelho</t>
  </si>
  <si>
    <t>Guilherme Lobo</t>
  </si>
  <si>
    <t>Carolina Braga</t>
  </si>
  <si>
    <t>Rodrigo Dantas</t>
  </si>
  <si>
    <t>Simone Paiva</t>
  </si>
  <si>
    <t>Alexandre Brito</t>
  </si>
  <si>
    <t>Larissa Monteiro</t>
  </si>
  <si>
    <t>Marcos Figueiredo</t>
  </si>
  <si>
    <t>Natália Bittencourt</t>
  </si>
  <si>
    <t>Renato Cardoso</t>
  </si>
  <si>
    <t>Flávia Rezende</t>
  </si>
  <si>
    <t>Wesley Camargo</t>
  </si>
  <si>
    <t>Mônica Portela</t>
  </si>
  <si>
    <t>Sérgio Mendonça</t>
  </si>
  <si>
    <t>Luciana Moraes</t>
  </si>
  <si>
    <t>Caio Queiroz</t>
  </si>
  <si>
    <t>Adriana Pimenta</t>
  </si>
  <si>
    <t>Henrique Fonseca</t>
  </si>
  <si>
    <t>Roberta Siqueira</t>
  </si>
  <si>
    <t>Vinícius Rios</t>
  </si>
  <si>
    <t>Bianca Meireles</t>
  </si>
  <si>
    <t>Otávio Drumond</t>
  </si>
  <si>
    <t>Sabrina Galvão</t>
  </si>
  <si>
    <t>Alan Fraga</t>
  </si>
  <si>
    <t>Michele Assunção</t>
  </si>
  <si>
    <t>Douglas Ferraz</t>
  </si>
  <si>
    <t>Paula Magalhães</t>
  </si>
  <si>
    <t>Fábio Antunes</t>
  </si>
  <si>
    <t>Jéssica Brandão</t>
  </si>
  <si>
    <t>Murilo Lacerda</t>
  </si>
  <si>
    <t>Kátia Noronha</t>
  </si>
  <si>
    <t>Leandro Valente</t>
  </si>
  <si>
    <t>Talita Vasconcelos</t>
  </si>
  <si>
    <t>Samuel Pires</t>
  </si>
  <si>
    <t>Eliane Albuquerque</t>
  </si>
  <si>
    <t>Diego Furtado</t>
  </si>
  <si>
    <t>Raquel Holanda</t>
  </si>
  <si>
    <t>Roberto Seabra</t>
  </si>
  <si>
    <t>Elaine Matos</t>
  </si>
  <si>
    <t>Cristian Bastos</t>
  </si>
  <si>
    <t>Débora Beltrão</t>
  </si>
  <si>
    <t>Wellington Prado</t>
  </si>
  <si>
    <t>Nádia Abreu</t>
  </si>
  <si>
    <t>Pablo Vianna</t>
  </si>
  <si>
    <t>Cíntia Correia</t>
  </si>
  <si>
    <t>Jonas Araujo</t>
  </si>
  <si>
    <t>Helena Pontes</t>
  </si>
  <si>
    <t>Everton Silveira</t>
  </si>
  <si>
    <t>Paula Sarmento</t>
  </si>
  <si>
    <t>Anderson Coutinho</t>
  </si>
  <si>
    <t>Fabiana Malta</t>
  </si>
  <si>
    <t>Jeferson Caldas</t>
  </si>
  <si>
    <t>Tereza Lobato</t>
  </si>
  <si>
    <t>Ramon Pinheiro</t>
  </si>
  <si>
    <t>Márcia Paes</t>
  </si>
  <si>
    <t>Adriano Sales</t>
  </si>
  <si>
    <t>Cláudia Leite</t>
  </si>
  <si>
    <t>Danilo Xavier</t>
  </si>
  <si>
    <t>Rita Nascimento</t>
  </si>
  <si>
    <t>Bruno Guimarães</t>
  </si>
  <si>
    <t>Solange Falcão</t>
  </si>
  <si>
    <t>Thiago Pinho</t>
  </si>
  <si>
    <t>Milena Farias</t>
  </si>
  <si>
    <t>Allan Vilela</t>
  </si>
  <si>
    <t>Noemi Arantes</t>
  </si>
  <si>
    <t>Cristian Pimentel</t>
  </si>
  <si>
    <t>Heloísa Motta</t>
  </si>
  <si>
    <t>Rogério Paes</t>
  </si>
  <si>
    <t>Preço Final</t>
  </si>
  <si>
    <t>Total Final</t>
  </si>
  <si>
    <t>Rótulos de Linha</t>
  </si>
  <si>
    <t>Total Geral</t>
  </si>
  <si>
    <t>Soma de Valor Final</t>
  </si>
  <si>
    <t>Olá, Jonatha F.</t>
  </si>
  <si>
    <t xml:space="preserve">Xbox Game Pass </t>
  </si>
  <si>
    <t>Cálculo de assinaturas totais do ano de 2025</t>
  </si>
  <si>
    <t>Soma de Preço total de quem tem Auto Renovação</t>
  </si>
  <si>
    <t>Com Renovação</t>
  </si>
  <si>
    <t>Sem Renovação</t>
  </si>
  <si>
    <t>Total</t>
  </si>
  <si>
    <t>Com Renovação Automática</t>
  </si>
  <si>
    <t>Sem Renovação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</si>
</sst>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8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0"/>
      <name val="Carlito"/>
      <family val="2"/>
    </font>
    <font>
      <b/>
      <sz val="18"/>
      <color rgb="FF107C10"/>
      <name val="Calibri Light"/>
      <family val="2"/>
      <scheme val="major"/>
    </font>
    <font>
      <i/>
      <sz val="11"/>
      <color rgb="FF107C1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77BB4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616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rgb="FF107C1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4" fillId="2" borderId="1" xfId="2" applyFont="1" applyFill="1" applyBorder="1"/>
    <xf numFmtId="0" fontId="0" fillId="4" borderId="0" xfId="0" applyFill="1"/>
    <xf numFmtId="0" fontId="0" fillId="3" borderId="0" xfId="0" applyFill="1"/>
    <xf numFmtId="0" fontId="0" fillId="5" borderId="0" xfId="0" applyFill="1"/>
    <xf numFmtId="0" fontId="3" fillId="6" borderId="0" xfId="0" applyFont="1" applyFill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/>
    </xf>
    <xf numFmtId="0" fontId="5" fillId="2" borderId="0" xfId="0" applyFont="1" applyFill="1"/>
    <xf numFmtId="16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0" fillId="2" borderId="0" xfId="0" applyNumberFormat="1" applyFill="1"/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6" fillId="3" borderId="0" xfId="0" applyFont="1" applyFill="1" applyAlignment="1">
      <alignment horizontal="center" vertical="center"/>
    </xf>
    <xf numFmtId="0" fontId="0" fillId="2" borderId="13" xfId="0" applyFill="1" applyBorder="1"/>
    <xf numFmtId="0" fontId="7" fillId="2" borderId="13" xfId="2" applyFont="1" applyFill="1" applyBorder="1"/>
    <xf numFmtId="0" fontId="8" fillId="2" borderId="0" xfId="0" applyFont="1" applyFill="1"/>
  </cellXfs>
  <cellStyles count="3">
    <cellStyle name="Moeda" xfId="1" builtinId="4"/>
    <cellStyle name="Normal" xfId="0" builtinId="0"/>
    <cellStyle name="Título" xfId="2" builtinId="15"/>
  </cellStyles>
  <dxfs count="41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R$&quot;\ #,##0.00"/>
      <alignment horizontal="center" vertical="center" textRotation="0" wrapText="0" indent="0" justifyLastLine="0" shrinkToFit="0" readingOrder="0"/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 outline="0"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numFmt numFmtId="164" formatCode="&quot;R$&quot;\ #,##0.00"/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64" formatCode="&quot;R$&quot;\ 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  <dxf>
      <font>
        <b val="0"/>
        <i val="0"/>
        <sz val="12"/>
        <color theme="0"/>
        <name val="Arial"/>
        <family val="2"/>
        <scheme val="none"/>
      </font>
      <fill>
        <patternFill patternType="solid">
          <bgColor rgb="FF107C10"/>
        </patternFill>
      </fill>
    </dxf>
    <dxf>
      <fill>
        <patternFill>
          <bgColor rgb="FF107C10"/>
        </patternFill>
      </fill>
    </dxf>
  </dxfs>
  <tableStyles count="1" defaultTableStyle="TableStyleMedium2" defaultPivotStyle="PivotStyleLight16">
    <tableStyle name="Estilo de Segmentação de Dados 1" pivot="0" table="0" count="9" xr9:uid="{8571AEDE-B3C3-4E41-879B-EE8B66D328F0}">
      <tableStyleElement type="wholeTable" dxfId="40"/>
      <tableStyleElement type="headerRow" dxfId="39"/>
    </tableStyle>
  </tableStyles>
  <colors>
    <mruColors>
      <color rgb="FF107C10"/>
      <color rgb="FFD0CECE"/>
      <color rgb="FFDDDDDD"/>
      <color rgb="FF77BB44"/>
      <color rgb="FF548235"/>
      <color rgb="FF2596BE"/>
      <color rgb="FF161616"/>
    </mruColors>
  </colors>
  <extLst>
    <ext xmlns:x14="http://schemas.microsoft.com/office/spreadsheetml/2009/9/main" uri="{46F421CA-312F-682f-3DD2-61675219B42D}">
      <x14:dxfs count="7">
        <dxf>
          <font>
            <color theme="0"/>
          </font>
          <fill>
            <patternFill>
              <bgColor rgb="FF107C10"/>
            </patternFill>
          </fill>
        </dxf>
        <dxf>
          <font>
            <b val="0"/>
            <i val="0"/>
            <sz val="10"/>
            <color theme="0"/>
            <name val="Arial"/>
            <family val="2"/>
            <scheme val="none"/>
          </font>
        </dxf>
        <dxf>
          <font>
            <b val="0"/>
            <i val="0"/>
            <sz val="12"/>
            <color theme="0"/>
            <name val="Arial"/>
            <family val="2"/>
            <scheme val="none"/>
          </font>
        </dxf>
        <dxf>
          <font>
            <b/>
            <i val="0"/>
            <sz val="12"/>
            <color theme="0"/>
            <name val="Arial Black"/>
            <family val="2"/>
            <scheme val="none"/>
          </font>
          <fill>
            <patternFill>
              <bgColor rgb="FF107C10"/>
            </patternFill>
          </fill>
        </dxf>
        <dxf>
          <font>
            <b/>
            <i val="0"/>
            <sz val="12"/>
            <color theme="0"/>
            <name val="Arial"/>
            <family val="2"/>
            <scheme val="none"/>
          </font>
          <fill>
            <patternFill>
              <bgColor rgb="FF77BB44"/>
            </patternFill>
          </fill>
        </dxf>
        <dxf>
          <font>
            <b val="0"/>
            <i val="0"/>
            <sz val="10"/>
            <color theme="0"/>
            <name val="Arial"/>
            <family val="2"/>
            <scheme val="none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sz val="10"/>
            <color theme="0"/>
            <name val="Arial"/>
            <family val="2"/>
            <scheme val="none"/>
          </font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[dashboard_xbox_gamepass.xlsx]Cálculos!Tabela dinâmica4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0274220016351753"/>
          <c:y val="0.3142107757363663"/>
          <c:w val="0.59725779983648242"/>
          <c:h val="0.6857892242636337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Cálculos!$E$7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Cálculos!$D$8:$D$10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Cálculos!$E$8:$E$10</c:f>
              <c:numCache>
                <c:formatCode>"R$"\ #,##0.00</c:formatCode>
                <c:ptCount val="2"/>
                <c:pt idx="0">
                  <c:v>3491.1000000000022</c:v>
                </c:pt>
                <c:pt idx="1">
                  <c:v>4244.0000000000027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15-46F2-9D44-A401342FA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94467807"/>
        <c:axId val="2094468767"/>
        <c:axId val="0"/>
      </c:bar3DChart>
      <c:catAx>
        <c:axId val="2094467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468767"/>
        <c:crosses val="autoZero"/>
        <c:auto val="1"/>
        <c:lblAlgn val="ctr"/>
        <c:lblOffset val="100"/>
        <c:noMultiLvlLbl val="0"/>
      </c:catAx>
      <c:valAx>
        <c:axId val="209446876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20944678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[dashboard_xbox_gamepass.xlsx]Cálculos!Tabela dinâmica9</c:name>
    <c:fmtId val="0"/>
  </c:pivotSource>
  <c:chart>
    <c:autoTitleDeleted val="0"/>
    <c:pivotFmts>
      <c:pivotFmt>
        <c:idx val="0"/>
        <c:spPr>
          <a:solidFill>
            <a:srgbClr val="77BB44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DDDDD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Cálculos!$K$13</c:f>
              <c:strCache>
                <c:ptCount val="1"/>
                <c:pt idx="0">
                  <c:v>Com Renovação Automática</c:v>
                </c:pt>
              </c:strCache>
            </c:strRef>
          </c:tx>
          <c:spPr>
            <a:solidFill>
              <a:srgbClr val="77BB44">
                <a:alpha val="88000"/>
              </a:srgb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Cálculos!$K$14</c:f>
              <c:numCache>
                <c:formatCode>"R$"\ #,##0.00</c:formatCode>
                <c:ptCount val="1"/>
                <c:pt idx="0">
                  <c:v>28210.199999999997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1-4C58-947C-6CAE298EFE84}"/>
            </c:ext>
          </c:extLst>
        </c:ser>
        <c:ser>
          <c:idx val="1"/>
          <c:order val="1"/>
          <c:tx>
            <c:strRef>
              <c:f>Cálculos!$L$13</c:f>
              <c:strCache>
                <c:ptCount val="1"/>
                <c:pt idx="0">
                  <c:v>Sem Renovação Automática</c:v>
                </c:pt>
              </c:strCache>
            </c:strRef>
          </c:tx>
          <c:spPr>
            <a:solidFill>
              <a:schemeClr val="accent2">
                <a:lumMod val="75000"/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Cálculos!$L$14</c:f>
              <c:numCache>
                <c:formatCode>"R$"\ #,##0.00</c:formatCode>
                <c:ptCount val="1"/>
                <c:pt idx="0">
                  <c:v>26190.600000000002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1-4C58-947C-6CAE298EFE84}"/>
            </c:ext>
          </c:extLst>
        </c:ser>
        <c:ser>
          <c:idx val="2"/>
          <c:order val="2"/>
          <c:tx>
            <c:strRef>
              <c:f>Cálculos!$M$13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DDDDD">
                <a:alpha val="88000"/>
              </a:srgb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A5A5A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Cálculos!$M$14</c:f>
              <c:numCache>
                <c:formatCode>"R$"\ #,##0.00</c:formatCode>
                <c:ptCount val="1"/>
                <c:pt idx="0">
                  <c:v>54400.800000000025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E1-4C58-947C-6CAE298EFE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70064031"/>
        <c:axId val="1670047711"/>
        <c:axId val="0"/>
      </c:bar3DChart>
      <c:catAx>
        <c:axId val="167006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0047711"/>
        <c:crosses val="autoZero"/>
        <c:auto val="1"/>
        <c:lblAlgn val="ctr"/>
        <c:lblOffset val="100"/>
        <c:noMultiLvlLbl val="0"/>
      </c:catAx>
      <c:valAx>
        <c:axId val="1670047711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67006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lt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[dashboard_xbox_gamepass.xlsx]Cálculos!Tabela dinâmica4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77BB4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rgbClr val="77BB44"/>
          </a:solidFill>
          <a:ln>
            <a:noFill/>
          </a:ln>
          <a:effectLst/>
          <a:sp3d/>
        </c:spPr>
        <c:dLbl>
          <c:idx val="0"/>
          <c:layout>
            <c:manualLayout>
              <c:x val="-0.12013786312161497"/>
              <c:y val="-4.052686196997565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rgbClr val="77BB44"/>
          </a:solidFill>
          <a:ln>
            <a:noFill/>
          </a:ln>
          <a:effectLst/>
          <a:sp3d/>
        </c:spPr>
        <c:dLbl>
          <c:idx val="0"/>
          <c:layout>
            <c:manualLayout>
              <c:x val="-0.1201378631216149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9504488095571693E-2"/>
          <c:y val="0"/>
          <c:w val="0.9138881655541089"/>
          <c:h val="1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Cálculos!$E$7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7BB44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77BB4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9145-470D-9983-9A80AE18A040}"/>
              </c:ext>
            </c:extLst>
          </c:dPt>
          <c:dPt>
            <c:idx val="1"/>
            <c:invertIfNegative val="0"/>
            <c:bubble3D val="0"/>
            <c:spPr>
              <a:solidFill>
                <a:srgbClr val="77BB4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145-470D-9983-9A80AE18A040}"/>
              </c:ext>
            </c:extLst>
          </c:dPt>
          <c:dLbls>
            <c:dLbl>
              <c:idx val="0"/>
              <c:layout>
                <c:manualLayout>
                  <c:x val="-0.1201378631216149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45-470D-9983-9A80AE18A040}"/>
                </c:ext>
              </c:extLst>
            </c:dLbl>
            <c:dLbl>
              <c:idx val="1"/>
              <c:layout>
                <c:manualLayout>
                  <c:x val="-0.12013786312161497"/>
                  <c:y val="-4.052686196997565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45-470D-9983-9A80AE18A0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Cálculos!$D$8:$D$10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Cálculos!$E$8:$E$10</c:f>
              <c:numCache>
                <c:formatCode>"R$"\ #,##0.00</c:formatCode>
                <c:ptCount val="2"/>
                <c:pt idx="0">
                  <c:v>3491.1000000000022</c:v>
                </c:pt>
                <c:pt idx="1">
                  <c:v>4244.0000000000027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5-470D-9983-9A80AE18A0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94467807"/>
        <c:axId val="2094468767"/>
        <c:axId val="0"/>
      </c:bar3DChart>
      <c:catAx>
        <c:axId val="2094467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468767"/>
        <c:crosses val="autoZero"/>
        <c:auto val="1"/>
        <c:lblAlgn val="ctr"/>
        <c:lblOffset val="100"/>
        <c:noMultiLvlLbl val="0"/>
      </c:catAx>
      <c:valAx>
        <c:axId val="209446876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209446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[dashboard_xbox_gamepass.xlsx]Cálculos!Tabela dinâmica9</c:name>
    <c:fmtId val="8"/>
  </c:pivotSource>
  <c:chart>
    <c:autoTitleDeleted val="0"/>
    <c:pivotFmts>
      <c:pivotFmt>
        <c:idx val="0"/>
        <c:spPr>
          <a:solidFill>
            <a:srgbClr val="77BB44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DDDDDD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7BB44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75000"/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DDDDD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7BB44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  <a:alpha val="73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DDDDDD">
              <a:alpha val="88000"/>
            </a:srgb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25400"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Cálculos!$K$13</c:f>
              <c:strCache>
                <c:ptCount val="1"/>
                <c:pt idx="0">
                  <c:v>Com Renovação Automática</c:v>
                </c:pt>
              </c:strCache>
            </c:strRef>
          </c:tx>
          <c:spPr>
            <a:solidFill>
              <a:srgbClr val="77BB44">
                <a:alpha val="88000"/>
              </a:srgb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Cálculos!$K$14</c:f>
              <c:numCache>
                <c:formatCode>"R$"\ #,##0.00</c:formatCode>
                <c:ptCount val="1"/>
                <c:pt idx="0">
                  <c:v>28210.199999999997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3-41F9-9A98-CB6CA64EA944}"/>
            </c:ext>
          </c:extLst>
        </c:ser>
        <c:ser>
          <c:idx val="1"/>
          <c:order val="1"/>
          <c:tx>
            <c:strRef>
              <c:f>Cálculos!$L$13</c:f>
              <c:strCache>
                <c:ptCount val="1"/>
                <c:pt idx="0">
                  <c:v>Sem Renovação Automática</c:v>
                </c:pt>
              </c:strCache>
            </c:strRef>
          </c:tx>
          <c:spPr>
            <a:solidFill>
              <a:schemeClr val="accent2">
                <a:lumMod val="75000"/>
                <a:alpha val="73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Cálculos!$L$14</c:f>
              <c:numCache>
                <c:formatCode>"R$"\ #,##0.00</c:formatCode>
                <c:ptCount val="1"/>
                <c:pt idx="0">
                  <c:v>26190.600000000002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3-41F9-9A98-CB6CA64EA944}"/>
            </c:ext>
          </c:extLst>
        </c:ser>
        <c:ser>
          <c:idx val="2"/>
          <c:order val="2"/>
          <c:tx>
            <c:strRef>
              <c:f>Cálculos!$M$13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DDDDD">
                <a:alpha val="88000"/>
              </a:srgb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A5A5A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Cálculos!$K$14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Cálculos!$M$14</c:f>
              <c:numCache>
                <c:formatCode>"R$"\ #,##0.00</c:formatCode>
                <c:ptCount val="1"/>
                <c:pt idx="0">
                  <c:v>54400.800000000025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3-41F9-9A98-CB6CA64EA9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670064031"/>
        <c:axId val="1670047711"/>
        <c:axId val="0"/>
      </c:bar3DChart>
      <c:catAx>
        <c:axId val="1670064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0047711"/>
        <c:crosses val="autoZero"/>
        <c:auto val="1"/>
        <c:lblAlgn val="ctr"/>
        <c:lblOffset val="100"/>
        <c:noMultiLvlLbl val="0"/>
      </c:catAx>
      <c:valAx>
        <c:axId val="1670047711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67006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lt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9.2794400699912516E-2"/>
          <c:y val="0.92215467185617572"/>
          <c:w val="0.85292971711869336"/>
          <c:h val="4.1212368287202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l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lt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6" Type="http://schemas.openxmlformats.org/officeDocument/2006/relationships/image" Target="../media/image3.jpeg"/><Relationship Id="rId5" Type="http://schemas.openxmlformats.org/officeDocument/2006/relationships/image" Target="../media/image4.jpe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73268</xdr:colOff>
      <xdr:row>11</xdr:row>
      <xdr:rowOff>79895</xdr:rowOff>
    </xdr:from>
    <xdr:to>
      <xdr:col>3</xdr:col>
      <xdr:colOff>373371</xdr:colOff>
      <xdr:row>13</xdr:row>
      <xdr:rowOff>161192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D40D8F-52AB-AD76-79B5-81C5C94EC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403" y="2409857"/>
          <a:ext cx="1516372" cy="462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304800</xdr:colOff>
      <xdr:row>17</xdr:row>
      <xdr:rowOff>114300</xdr:rowOff>
    </xdr:to>
    <xdr:sp macro="" textlink="">
      <xdr:nvSpPr>
        <xdr:cNvPr id="1026" name="AutoShape 2" descr="Xbox Logo PNG Vector (PDF) Free Download">
          <a:extLst>
            <a:ext uri="{FF2B5EF4-FFF2-40B4-BE49-F238E27FC236}">
              <a16:creationId xmlns:a16="http://schemas.microsoft.com/office/drawing/2014/main" id="{8302F2DC-498E-8248-3D33-23DA3A3D1676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1027" name="AutoShape 3" descr="Xbox Logo PNG Vector (PDF) Free Download">
          <a:extLst>
            <a:ext uri="{FF2B5EF4-FFF2-40B4-BE49-F238E27FC236}">
              <a16:creationId xmlns:a16="http://schemas.microsoft.com/office/drawing/2014/main" id="{83B0D1BB-2373-5588-825B-44B5D9D06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67800</xdr:colOff>
      <xdr:row>14</xdr:row>
      <xdr:rowOff>51285</xdr:rowOff>
    </xdr:from>
    <xdr:to>
      <xdr:col>1</xdr:col>
      <xdr:colOff>550264</xdr:colOff>
      <xdr:row>16</xdr:row>
      <xdr:rowOff>153865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6F88A2B-4A1E-D2DE-C7EE-70BF9F9A6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935" y="2952747"/>
          <a:ext cx="482464" cy="483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20</xdr:row>
      <xdr:rowOff>114300</xdr:rowOff>
    </xdr:to>
    <xdr:sp macro="" textlink="">
      <xdr:nvSpPr>
        <xdr:cNvPr id="1029" name="AutoShape 5" descr="Logotipo do Xbox Game Pass Premium">
          <a:extLst>
            <a:ext uri="{FF2B5EF4-FFF2-40B4-BE49-F238E27FC236}">
              <a16:creationId xmlns:a16="http://schemas.microsoft.com/office/drawing/2014/main" id="{7537ED76-5F6B-B801-C6BA-DE9E8BB54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80595</xdr:colOff>
      <xdr:row>17</xdr:row>
      <xdr:rowOff>109903</xdr:rowOff>
    </xdr:from>
    <xdr:to>
      <xdr:col>3</xdr:col>
      <xdr:colOff>304326</xdr:colOff>
      <xdr:row>25</xdr:row>
      <xdr:rowOff>25903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D7CCE4C-98A4-A8DA-6330-A22AAC367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0" y="3582865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490903</xdr:colOff>
      <xdr:row>17</xdr:row>
      <xdr:rowOff>102577</xdr:rowOff>
    </xdr:from>
    <xdr:to>
      <xdr:col>6</xdr:col>
      <xdr:colOff>106499</xdr:colOff>
      <xdr:row>25</xdr:row>
      <xdr:rowOff>18577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2EB5508-FB65-0D7D-5370-F38CE5EA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5307" y="3575539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29309</xdr:colOff>
      <xdr:row>2</xdr:row>
      <xdr:rowOff>95252</xdr:rowOff>
    </xdr:from>
    <xdr:to>
      <xdr:col>7</xdr:col>
      <xdr:colOff>593481</xdr:colOff>
      <xdr:row>5</xdr:row>
      <xdr:rowOff>87924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D493FF9-D915-A741-0950-254B8BE87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1" y="593483"/>
          <a:ext cx="564172" cy="564172"/>
        </a:xfrm>
        <a:prstGeom prst="rect">
          <a:avLst/>
        </a:prstGeom>
      </xdr:spPr>
    </xdr:pic>
    <xdr:clientData/>
  </xdr:twoCellAnchor>
  <xdr:twoCellAnchor editAs="oneCell">
    <xdr:from>
      <xdr:col>3</xdr:col>
      <xdr:colOff>542191</xdr:colOff>
      <xdr:row>11</xdr:row>
      <xdr:rowOff>124559</xdr:rowOff>
    </xdr:from>
    <xdr:to>
      <xdr:col>6</xdr:col>
      <xdr:colOff>24532</xdr:colOff>
      <xdr:row>16</xdr:row>
      <xdr:rowOff>153865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34472F4-21A8-E5AD-BFAE-58BE30812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66595" y="2454521"/>
          <a:ext cx="1306745" cy="9818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173935</xdr:colOff>
      <xdr:row>11</xdr:row>
      <xdr:rowOff>36444</xdr:rowOff>
    </xdr:from>
    <xdr:to>
      <xdr:col>7</xdr:col>
      <xdr:colOff>57979</xdr:colOff>
      <xdr:row>24</xdr:row>
      <xdr:rowOff>195470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9FAD60-FA4A-50D1-438C-7795C50B1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296517</xdr:colOff>
      <xdr:row>11</xdr:row>
      <xdr:rowOff>156541</xdr:rowOff>
    </xdr:from>
    <xdr:to>
      <xdr:col>8</xdr:col>
      <xdr:colOff>924339</xdr:colOff>
      <xdr:row>24</xdr:row>
      <xdr:rowOff>96492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lano">
              <a:extLst>
                <a:ext uri="{FF2B5EF4-FFF2-40B4-BE49-F238E27FC236}">
                  <a16:creationId xmlns:a16="http://schemas.microsoft.com/office/drawing/2014/main" id="{AE51EA74-0A20-476C-DCCE-BF039731AB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0343" y="23431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472109</xdr:colOff>
      <xdr:row>14</xdr:row>
      <xdr:rowOff>99391</xdr:rowOff>
    </xdr:from>
    <xdr:to>
      <xdr:col>12</xdr:col>
      <xdr:colOff>1093305</xdr:colOff>
      <xdr:row>36</xdr:row>
      <xdr:rowOff>21534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334C7F-3D38-FF16-A69D-9DA0EA235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27</xdr:row>
      <xdr:rowOff>180975</xdr:rowOff>
    </xdr:from>
    <xdr:to>
      <xdr:col>0</xdr:col>
      <xdr:colOff>1333501</xdr:colOff>
      <xdr:row>33</xdr:row>
      <xdr:rowOff>19781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22499D1-1120-4454-8C57-9C7522AC5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438775"/>
          <a:ext cx="1333500" cy="98180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</xdr:row>
      <xdr:rowOff>152400</xdr:rowOff>
    </xdr:from>
    <xdr:to>
      <xdr:col>0</xdr:col>
      <xdr:colOff>945172</xdr:colOff>
      <xdr:row>4</xdr:row>
      <xdr:rowOff>30772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22923CB-627C-496A-9616-17B16A6F7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342900"/>
          <a:ext cx="564172" cy="56417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38100</xdr:rowOff>
    </xdr:from>
    <xdr:to>
      <xdr:col>2</xdr:col>
      <xdr:colOff>25264</xdr:colOff>
      <xdr:row>3</xdr:row>
      <xdr:rowOff>26380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91029F7-405C-49B2-93F1-2C5D26996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228600"/>
          <a:ext cx="482464" cy="483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58392</xdr:colOff>
      <xdr:row>6</xdr:row>
      <xdr:rowOff>72473</xdr:rowOff>
    </xdr:from>
    <xdr:to>
      <xdr:col>0</xdr:col>
      <xdr:colOff>1314450</xdr:colOff>
      <xdr:row>27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lano 1">
              <a:extLst>
                <a:ext uri="{FF2B5EF4-FFF2-40B4-BE49-F238E27FC236}">
                  <a16:creationId xmlns:a16="http://schemas.microsoft.com/office/drawing/2014/main" id="{40F96F79-AC65-4527-8900-36C0C5A0A1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92" y="1329773"/>
              <a:ext cx="1256058" cy="40328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257175</xdr:colOff>
      <xdr:row>17</xdr:row>
      <xdr:rowOff>152400</xdr:rowOff>
    </xdr:from>
    <xdr:to>
      <xdr:col>15</xdr:col>
      <xdr:colOff>333375</xdr:colOff>
      <xdr:row>32</xdr:row>
      <xdr:rowOff>123825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DA3E0500-ED27-1DC5-0A92-DC36F92AC0C2}"/>
            </a:ext>
          </a:extLst>
        </xdr:cNvPr>
        <xdr:cNvGrpSpPr/>
      </xdr:nvGrpSpPr>
      <xdr:grpSpPr>
        <a:xfrm>
          <a:off x="1607240" y="3506857"/>
          <a:ext cx="8656983" cy="2828925"/>
          <a:chOff x="1628775" y="3486150"/>
          <a:chExt cx="5838825" cy="282892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525CA7C-69D6-2549-04ED-D08FC6320697}"/>
              </a:ext>
            </a:extLst>
          </xdr:cNvPr>
          <xdr:cNvSpPr/>
        </xdr:nvSpPr>
        <xdr:spPr>
          <a:xfrm>
            <a:off x="1638300" y="3533775"/>
            <a:ext cx="5819775" cy="2781300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ln>
                <a:noFill/>
              </a:ln>
              <a:solidFill>
                <a:schemeClr val="lt1"/>
              </a:solidFill>
            </a:endParaRPr>
          </a:p>
        </xdr:txBody>
      </xdr:sp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A3E49FD3-065F-4424-BA33-CF97B5581786}"/>
              </a:ext>
            </a:extLst>
          </xdr:cNvPr>
          <xdr:cNvGraphicFramePr>
            <a:graphicFrameLocks/>
          </xdr:cNvGraphicFramePr>
        </xdr:nvGraphicFramePr>
        <xdr:xfrm>
          <a:off x="1762125" y="3943349"/>
          <a:ext cx="5353050" cy="23145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2" name="Retângulo: Cantos Superiores Arredondados 1">
            <a:extLst>
              <a:ext uri="{FF2B5EF4-FFF2-40B4-BE49-F238E27FC236}">
                <a16:creationId xmlns:a16="http://schemas.microsoft.com/office/drawing/2014/main" id="{8F206199-C824-AA20-A44B-8A7D6666EC89}"/>
              </a:ext>
            </a:extLst>
          </xdr:cNvPr>
          <xdr:cNvSpPr/>
        </xdr:nvSpPr>
        <xdr:spPr>
          <a:xfrm>
            <a:off x="1628775" y="3486150"/>
            <a:ext cx="5838825" cy="48577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77BB44"/>
          </a:solidFill>
          <a:ln>
            <a:noFill/>
          </a:ln>
        </xdr:spPr>
        <xdr:style>
          <a:lnRef idx="2">
            <a:schemeClr val="accent6">
              <a:shade val="15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Arial" panose="020B0604020202020204" pitchFamily="34" charset="0"/>
                <a:cs typeface="Arial" panose="020B0604020202020204" pitchFamily="34" charset="0"/>
              </a:rPr>
              <a:t>TOTAL DE GANHO MENSAL COM/SEM RENOVAÇÃO AUTOMÁTICA</a:t>
            </a:r>
          </a:p>
        </xdr:txBody>
      </xdr:sp>
    </xdr:grpSp>
    <xdr:clientData/>
  </xdr:twoCellAnchor>
  <xdr:twoCellAnchor>
    <xdr:from>
      <xdr:col>8</xdr:col>
      <xdr:colOff>264230</xdr:colOff>
      <xdr:row>4</xdr:row>
      <xdr:rowOff>95249</xdr:rowOff>
    </xdr:from>
    <xdr:to>
      <xdr:col>15</xdr:col>
      <xdr:colOff>307272</xdr:colOff>
      <xdr:row>17</xdr:row>
      <xdr:rowOff>47625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62F034D0-F15D-8B84-D9F1-35BDFBCA0928}"/>
            </a:ext>
          </a:extLst>
        </xdr:cNvPr>
        <xdr:cNvGrpSpPr/>
      </xdr:nvGrpSpPr>
      <xdr:grpSpPr>
        <a:xfrm>
          <a:off x="5904687" y="973206"/>
          <a:ext cx="4333433" cy="2428876"/>
          <a:chOff x="5874455" y="971549"/>
          <a:chExt cx="4310242" cy="2428876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5E6AC297-D5CE-4954-9508-18B4CCB9340C}"/>
              </a:ext>
            </a:extLst>
          </xdr:cNvPr>
          <xdr:cNvGrpSpPr/>
        </xdr:nvGrpSpPr>
        <xdr:grpSpPr>
          <a:xfrm>
            <a:off x="5874455" y="971549"/>
            <a:ext cx="4310242" cy="2428876"/>
            <a:chOff x="1628775" y="571499"/>
            <a:chExt cx="5819775" cy="2828926"/>
          </a:xfrm>
          <a:solidFill>
            <a:srgbClr val="107C10"/>
          </a:solidFill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63AEF9F7-303A-0651-302D-7D390AC74C0F}"/>
                </a:ext>
              </a:extLst>
            </xdr:cNvPr>
            <xdr:cNvSpPr/>
          </xdr:nvSpPr>
          <xdr:spPr>
            <a:xfrm>
              <a:off x="1628775" y="619125"/>
              <a:ext cx="5819775" cy="2781300"/>
            </a:xfrm>
            <a:prstGeom prst="round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>
                  <a:noFill/>
                </a:ln>
                <a:solidFill>
                  <a:schemeClr val="lt1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E276CD7E-0C9D-4A37-6EE4-9D051C90FCE4}"/>
                </a:ext>
              </a:extLst>
            </xdr:cNvPr>
            <xdr:cNvSpPr/>
          </xdr:nvSpPr>
          <xdr:spPr>
            <a:xfrm>
              <a:off x="1632111" y="571499"/>
              <a:ext cx="5813104" cy="865319"/>
            </a:xfrm>
            <a:prstGeom prst="round2SameRect">
              <a:avLst>
                <a:gd name="adj1" fmla="val 50000"/>
                <a:gd name="adj2" fmla="val 0"/>
              </a:avLst>
            </a:prstGeom>
            <a:grpFill/>
            <a:ln>
              <a:noFill/>
            </a:ln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Arial" panose="020B0604020202020204" pitchFamily="34" charset="0"/>
                  <a:cs typeface="Arial" panose="020B0604020202020204" pitchFamily="34" charset="0"/>
                </a:rPr>
                <a:t>TOTAL GANHO ASSINATURA ULTIMATE MENSALMENTE</a:t>
              </a:r>
            </a:p>
          </xdr:txBody>
        </xdr:sp>
      </xdr:grp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873912D7-E715-4BC7-B5B0-1264840B8E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34075" y="1676400"/>
            <a:ext cx="1440000" cy="1440000"/>
          </a:xfrm>
          <a:prstGeom prst="rect">
            <a:avLst/>
          </a:prstGeom>
        </xdr:spPr>
      </xdr:pic>
      <xdr:sp macro="" textlink="Cálculos!J8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4C6F7C17-1422-A844-1BB6-167C757B1769}"/>
              </a:ext>
            </a:extLst>
          </xdr:cNvPr>
          <xdr:cNvSpPr/>
        </xdr:nvSpPr>
        <xdr:spPr>
          <a:xfrm>
            <a:off x="7277099" y="1752601"/>
            <a:ext cx="2393247" cy="1066800"/>
          </a:xfrm>
          <a:prstGeom prst="roundRect">
            <a:avLst/>
          </a:prstGeom>
          <a:solidFill>
            <a:srgbClr val="107C1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D9502E7-9990-46C2-B1E5-0C030984B106}" type="TxLink">
              <a:rPr lang="en-US" sz="3000" b="0" i="0" u="none" strike="noStrike">
                <a:ln>
                  <a:noFill/>
                </a:ln>
                <a:solidFill>
                  <a:schemeClr val="bg1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pPr algn="ctr"/>
              <a:t>R$ 4.910,40</a:t>
            </a:fld>
            <a:endParaRPr lang="pt-BR" sz="3000">
              <a:ln>
                <a:noFill/>
              </a:ln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235531</xdr:colOff>
      <xdr:row>4</xdr:row>
      <xdr:rowOff>85725</xdr:rowOff>
    </xdr:from>
    <xdr:to>
      <xdr:col>8</xdr:col>
      <xdr:colOff>202620</xdr:colOff>
      <xdr:row>17</xdr:row>
      <xdr:rowOff>38100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479E3A42-9B49-D34A-AD3D-3DC01E397781}"/>
            </a:ext>
          </a:extLst>
        </xdr:cNvPr>
        <xdr:cNvGrpSpPr/>
      </xdr:nvGrpSpPr>
      <xdr:grpSpPr>
        <a:xfrm>
          <a:off x="1585596" y="963682"/>
          <a:ext cx="4257481" cy="2428875"/>
          <a:chOff x="1588081" y="962025"/>
          <a:chExt cx="4234289" cy="242887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E2E1A573-A3E0-6B79-AE63-460E94FC9873}"/>
              </a:ext>
            </a:extLst>
          </xdr:cNvPr>
          <xdr:cNvGrpSpPr/>
        </xdr:nvGrpSpPr>
        <xdr:grpSpPr>
          <a:xfrm>
            <a:off x="1588081" y="962025"/>
            <a:ext cx="4234289" cy="2428875"/>
            <a:chOff x="1628775" y="571500"/>
            <a:chExt cx="5819775" cy="2828925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3542A7A7-EB06-4FA2-A5DF-26AF63370173}"/>
                </a:ext>
              </a:extLst>
            </xdr:cNvPr>
            <xdr:cNvSpPr/>
          </xdr:nvSpPr>
          <xdr:spPr>
            <a:xfrm>
              <a:off x="1628775" y="619125"/>
              <a:ext cx="5819775" cy="2781300"/>
            </a:xfrm>
            <a:prstGeom prst="roundRect">
              <a:avLst/>
            </a:prstGeom>
            <a:solidFill>
              <a:srgbClr val="107C1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>
                  <a:noFill/>
                </a:ln>
                <a:solidFill>
                  <a:schemeClr val="lt1"/>
                </a:solidFill>
              </a:endParaRPr>
            </a:p>
          </xdr:txBody>
        </xdr:sp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7EE5A449-14D2-4932-984F-219C718BF207}"/>
                </a:ext>
              </a:extLst>
            </xdr:cNvPr>
            <xdr:cNvSpPr/>
          </xdr:nvSpPr>
          <xdr:spPr>
            <a:xfrm>
              <a:off x="1632340" y="571500"/>
              <a:ext cx="5812643" cy="798755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107C10"/>
            </a:solidFill>
            <a:ln>
              <a:noFill/>
            </a:ln>
          </xdr:spPr>
          <xdr:style>
            <a:lnRef idx="2">
              <a:schemeClr val="accent6">
                <a:shade val="15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Arial" panose="020B0604020202020204" pitchFamily="34" charset="0"/>
                  <a:cs typeface="Arial" panose="020B0604020202020204" pitchFamily="34" charset="0"/>
                </a:rPr>
                <a:t>TOTAL GANHO ASSINATURA PREMIUM MENSALMENTE</a:t>
              </a:r>
            </a:p>
          </xdr:txBody>
        </xdr:sp>
      </xdr:grpSp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57D01F4C-DB4C-48DB-BCF8-2E95684348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19250" y="1647825"/>
            <a:ext cx="1440000" cy="1440000"/>
          </a:xfrm>
          <a:prstGeom prst="rect">
            <a:avLst/>
          </a:prstGeom>
        </xdr:spPr>
      </xdr:pic>
      <xdr:sp macro="" textlink="Cálculos!M8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09E0FDE3-99EA-4C15-A87D-8093CD422FF6}"/>
              </a:ext>
            </a:extLst>
          </xdr:cNvPr>
          <xdr:cNvSpPr/>
        </xdr:nvSpPr>
        <xdr:spPr>
          <a:xfrm>
            <a:off x="2990849" y="1800226"/>
            <a:ext cx="2393247" cy="1066800"/>
          </a:xfrm>
          <a:prstGeom prst="roundRect">
            <a:avLst/>
          </a:prstGeom>
          <a:solidFill>
            <a:srgbClr val="107C1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F0705B6-F179-4435-AA6D-FBD174DB75E2}" type="TxLink">
              <a:rPr lang="en-US" sz="3000" b="0" i="0" u="none" strike="noStrike">
                <a:ln>
                  <a:noFill/>
                </a:ln>
                <a:solidFill>
                  <a:schemeClr val="bg1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rPr>
              <a:pPr algn="ctr"/>
              <a:t>R$ 2.824,70</a:t>
            </a:fld>
            <a:endParaRPr lang="pt-BR" sz="3000">
              <a:ln>
                <a:noFill/>
              </a:ln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15</xdr:col>
      <xdr:colOff>466725</xdr:colOff>
      <xdr:row>4</xdr:row>
      <xdr:rowOff>142875</xdr:rowOff>
    </xdr:from>
    <xdr:to>
      <xdr:col>22</xdr:col>
      <xdr:colOff>509767</xdr:colOff>
      <xdr:row>32</xdr:row>
      <xdr:rowOff>142875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6424F591-CC1B-4DF5-9ABD-B79B84B63CE3}"/>
            </a:ext>
          </a:extLst>
        </xdr:cNvPr>
        <xdr:cNvSpPr/>
      </xdr:nvSpPr>
      <xdr:spPr>
        <a:xfrm>
          <a:off x="10353675" y="1019175"/>
          <a:ext cx="4310242" cy="5334000"/>
        </a:xfrm>
        <a:prstGeom prst="roundRect">
          <a:avLst>
            <a:gd name="adj" fmla="val 8712"/>
          </a:avLst>
        </a:prstGeom>
        <a:solidFill>
          <a:srgbClr val="107C1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noFill/>
            </a:ln>
            <a:solidFill>
              <a:schemeClr val="lt1"/>
            </a:solidFill>
          </a:endParaRPr>
        </a:p>
      </xdr:txBody>
    </xdr:sp>
    <xdr:clientData/>
  </xdr:twoCellAnchor>
  <xdr:twoCellAnchor>
    <xdr:from>
      <xdr:col>15</xdr:col>
      <xdr:colOff>438150</xdr:colOff>
      <xdr:row>5</xdr:row>
      <xdr:rowOff>0</xdr:rowOff>
    </xdr:from>
    <xdr:to>
      <xdr:col>22</xdr:col>
      <xdr:colOff>457200</xdr:colOff>
      <xdr:row>32</xdr:row>
      <xdr:rowOff>56735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26D260EB-3F91-4D8B-9475-66B191DF79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264230</xdr:colOff>
      <xdr:row>4</xdr:row>
      <xdr:rowOff>95249</xdr:rowOff>
    </xdr:from>
    <xdr:to>
      <xdr:col>15</xdr:col>
      <xdr:colOff>302331</xdr:colOff>
      <xdr:row>8</xdr:row>
      <xdr:rowOff>76200</xdr:rowOff>
    </xdr:to>
    <xdr:sp macro="" textlink="">
      <xdr:nvSpPr>
        <xdr:cNvPr id="33" name="Retângulo: Cantos Superiores Arredondados 32">
          <a:extLst>
            <a:ext uri="{FF2B5EF4-FFF2-40B4-BE49-F238E27FC236}">
              <a16:creationId xmlns:a16="http://schemas.microsoft.com/office/drawing/2014/main" id="{346C744B-080D-4A5C-AAD9-A5D69424DAAA}"/>
            </a:ext>
          </a:extLst>
        </xdr:cNvPr>
        <xdr:cNvSpPr/>
      </xdr:nvSpPr>
      <xdr:spPr>
        <a:xfrm>
          <a:off x="5883980" y="971549"/>
          <a:ext cx="4305301" cy="742951"/>
        </a:xfrm>
        <a:prstGeom prst="round2SameRect">
          <a:avLst>
            <a:gd name="adj1" fmla="val 50000"/>
            <a:gd name="adj2" fmla="val 0"/>
          </a:avLst>
        </a:prstGeom>
        <a:solidFill>
          <a:srgbClr val="107C10"/>
        </a:solidFill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TOTAL GANHO ASSINATURA ULTIMATE MENSALMENTE</a:t>
          </a:r>
        </a:p>
      </xdr:txBody>
    </xdr:sp>
    <xdr:clientData/>
  </xdr:twoCellAnchor>
  <xdr:twoCellAnchor>
    <xdr:from>
      <xdr:col>15</xdr:col>
      <xdr:colOff>466725</xdr:colOff>
      <xdr:row>4</xdr:row>
      <xdr:rowOff>142875</xdr:rowOff>
    </xdr:from>
    <xdr:to>
      <xdr:col>22</xdr:col>
      <xdr:colOff>504826</xdr:colOff>
      <xdr:row>8</xdr:row>
      <xdr:rowOff>123826</xdr:rowOff>
    </xdr:to>
    <xdr:sp macro="" textlink="">
      <xdr:nvSpPr>
        <xdr:cNvPr id="34" name="Retângulo: Cantos Superiores Arredondados 33">
          <a:extLst>
            <a:ext uri="{FF2B5EF4-FFF2-40B4-BE49-F238E27FC236}">
              <a16:creationId xmlns:a16="http://schemas.microsoft.com/office/drawing/2014/main" id="{29FED9FB-F1F0-4A25-907E-E99008B9659A}"/>
            </a:ext>
          </a:extLst>
        </xdr:cNvPr>
        <xdr:cNvSpPr/>
      </xdr:nvSpPr>
      <xdr:spPr>
        <a:xfrm>
          <a:off x="10353675" y="1019175"/>
          <a:ext cx="4305301" cy="742951"/>
        </a:xfrm>
        <a:prstGeom prst="round2SameRect">
          <a:avLst>
            <a:gd name="adj1" fmla="val 50000"/>
            <a:gd name="adj2" fmla="val 0"/>
          </a:avLst>
        </a:prstGeom>
        <a:solidFill>
          <a:srgbClr val="107C10"/>
        </a:solidFill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TOTAL GANHO DAS</a:t>
          </a:r>
          <a:r>
            <a:rPr lang="pt-BR" sz="1600" b="1" baseline="0">
              <a:latin typeface="Arial" panose="020B0604020202020204" pitchFamily="34" charset="0"/>
              <a:cs typeface="Arial" panose="020B0604020202020204" pitchFamily="34" charset="0"/>
            </a:rPr>
            <a:t> ASSINATURAS PREMIUM E ULTIMATE NO ANO TODO</a:t>
          </a:r>
          <a:endParaRPr lang="pt-BR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d Figueiredo" refreshedDate="46031.468858333334" createdVersion="8" refreshedVersion="8" minRefreshableVersion="3" recordCount="99" xr:uid="{0CCDFD7F-AD8C-413E-96EF-DF60A649178B}">
  <cacheSource type="worksheet">
    <worksheetSource name="Tabela1"/>
  </cacheSource>
  <cacheFields count="10">
    <cacheField name="ID de Assinatura do Usuário" numFmtId="0">
      <sharedItems containsSemiMixedTypes="0" containsString="0" containsNumber="1" containsInteger="1" minValue="5670" maxValue="5768"/>
    </cacheField>
    <cacheField name="Nome" numFmtId="0">
      <sharedItems count="99">
        <s v="Ana Silva"/>
        <s v="João Santos"/>
        <s v="Maria Oliveira"/>
        <s v="Pedro Costa"/>
        <s v="Lucas Pereira"/>
        <s v="Mariana Rodrigues"/>
        <s v="Carlos Alves"/>
        <s v="Fernanda Lima"/>
        <s v="Rafael Gomes"/>
        <s v="Juliana Ribeiro"/>
        <s v="Bruno Araújo"/>
        <s v="Camila Martins"/>
        <s v="Diego Rocha"/>
        <s v="Beatriz Nogueira"/>
        <s v="André Teixeira"/>
        <s v="Paula Fernandes"/>
        <s v="Felipe Barros"/>
        <s v="Renata Azevedo"/>
        <s v="Thiago Pacheco"/>
        <s v="Daniela Batista"/>
        <s v="Eduardo Farias"/>
        <s v="Patrícia Freitas"/>
        <s v="Victor Moreira"/>
        <s v="Gabriela Cunha"/>
        <s v="Leonardo Torres"/>
        <s v="Aline Guedes"/>
        <s v="Matheus Macedo"/>
        <s v="Tatiane Rangel"/>
        <s v="Igor Tavares"/>
        <s v="Vanessa Peixoto"/>
        <s v="Daniel Neves"/>
        <s v="Priscila Coelho"/>
        <s v="Guilherme Lobo"/>
        <s v="Carolina Braga"/>
        <s v="Rodrigo Dantas"/>
        <s v="Simone Paiva"/>
        <s v="Alexandre Brito"/>
        <s v="Larissa Monteiro"/>
        <s v="Marcos Figueiredo"/>
        <s v="Natália Bittencourt"/>
        <s v="Renato Cardoso"/>
        <s v="Flávia Rezende"/>
        <s v="Wesley Camargo"/>
        <s v="Mônica Portela"/>
        <s v="Sérgio Mendonça"/>
        <s v="Luciana Moraes"/>
        <s v="Caio Queiroz"/>
        <s v="Adriana Pimenta"/>
        <s v="Henrique Fonseca"/>
        <s v="Roberta Siqueira"/>
        <s v="Vinícius Rios"/>
        <s v="Bianca Meireles"/>
        <s v="Otávio Drumond"/>
        <s v="Sabrina Galvão"/>
        <s v="Alan Fraga"/>
        <s v="Michele Assunção"/>
        <s v="Douglas Ferraz"/>
        <s v="Paula Magalhães"/>
        <s v="Fábio Antunes"/>
        <s v="Jéssica Brandão"/>
        <s v="Murilo Lacerda"/>
        <s v="Kátia Noronha"/>
        <s v="Leandro Valente"/>
        <s v="Talita Vasconcelos"/>
        <s v="Samuel Pires"/>
        <s v="Eliane Albuquerque"/>
        <s v="Diego Furtado"/>
        <s v="Raquel Holanda"/>
        <s v="Roberto Seabra"/>
        <s v="Elaine Matos"/>
        <s v="Cristian Bastos"/>
        <s v="Débora Beltrão"/>
        <s v="Wellington Prado"/>
        <s v="Nádia Abreu"/>
        <s v="Pablo Vianna"/>
        <s v="Cíntia Correia"/>
        <s v="Jonas Araujo"/>
        <s v="Helena Pontes"/>
        <s v="Everton Silveira"/>
        <s v="Paula Sarmento"/>
        <s v="Anderson Coutinho"/>
        <s v="Fabiana Malta"/>
        <s v="Jeferson Caldas"/>
        <s v="Tereza Lobato"/>
        <s v="Ramon Pinheiro"/>
        <s v="Márcia Paes"/>
        <s v="Adriano Sales"/>
        <s v="Cláudia Leite"/>
        <s v="Danilo Xavier"/>
        <s v="Rita Nascimento"/>
        <s v="Bruno Guimarães"/>
        <s v="Solange Falcão"/>
        <s v="Thiago Pinho"/>
        <s v="Milena Farias"/>
        <s v="Allan Vilela"/>
        <s v="Noemi Arantes"/>
        <s v="Cristian Pimentel"/>
        <s v="Heloísa Motta"/>
        <s v="Rogério Paes"/>
      </sharedItems>
    </cacheField>
    <cacheField name="Plano" numFmtId="0">
      <sharedItems count="2">
        <s v="Ultimate"/>
        <s v="Premium"/>
      </sharedItems>
    </cacheField>
    <cacheField name="Data de Início" numFmtId="14">
      <sharedItems containsSemiMixedTypes="0" containsNonDate="0" containsDate="1" containsString="0" minDate="2025-01-01T00:00:00" maxDate="2026-01-01T00:00:00" count="98">
        <d v="2025-02-16T00:00:00"/>
        <d v="2025-11-05T00:00:00"/>
        <d v="2025-03-24T00:00:00"/>
        <d v="2025-07-09T00:00:00"/>
        <d v="2025-04-12T00:00:00"/>
        <d v="2025-05-21T00:00:00"/>
        <d v="2025-12-28T00:00:00"/>
        <d v="2025-01-03T00:00:00"/>
        <d v="2025-09-18T00:00:00"/>
        <d v="2025-06-30T00:00:00"/>
        <d v="2025-02-14T00:00:00"/>
        <d v="2025-11-22T00:00:00"/>
        <d v="2025-03-07T00:00:00"/>
        <d v="2025-07-25T00:00:00"/>
        <d v="2025-04-29T00:00:00"/>
        <d v="2025-06-02T00:00:00"/>
        <d v="2025-12-25T00:00:00"/>
        <d v="2025-01-10T00:00:00"/>
        <d v="2025-09-08T00:00:00"/>
        <d v="2025-06-19T00:00:00"/>
        <d v="2025-02-01T00:00:00"/>
        <d v="2025-11-04T00:00:00"/>
        <d v="2025-03-15T00:00:00"/>
        <d v="2025-07-14T00:00:00"/>
        <d v="2025-04-06T00:00:00"/>
        <d v="2025-05-27T00:00:00"/>
        <d v="2025-12-31T00:00:00"/>
        <d v="2025-01-17T00:00:00"/>
        <d v="2025-09-23T00:00:00"/>
        <d v="2025-06-05T00:00:00"/>
        <d v="2025-02-28T00:00:00"/>
        <d v="2025-11-12T00:00:00"/>
        <d v="2025-03-30T00:00:00"/>
        <d v="2025-07-02T00:00:00"/>
        <d v="2025-04-20T00:00:00"/>
        <d v="2025-05-09T00:00:00"/>
        <d v="2025-12-18T00:00:00"/>
        <d v="2025-01-26T00:00:00"/>
        <d v="2025-09-11T00:00:00"/>
        <d v="2025-06-27T00:00:00"/>
        <d v="2025-02-09T00:00:00"/>
        <d v="2025-11-29T00:00:00"/>
        <d v="2025-03-04T00:00:00"/>
        <d v="2025-07-21T00:00:00"/>
        <d v="2025-04-13T00:00:00"/>
        <d v="2025-05-16T00:00:00"/>
        <d v="2025-12-07T00:00:00"/>
        <d v="2025-01-01T00:00:00"/>
        <d v="2025-09-30T00:00:00"/>
        <d v="2025-06-14T00:00:00"/>
        <d v="2025-02-20T00:00:00"/>
        <d v="2025-11-08T00:00:00"/>
        <d v="2025-03-19T00:00:00"/>
        <d v="2025-07-05T00:00:00"/>
        <d v="2025-04-27T00:00:00"/>
        <d v="2025-05-23T00:00:00"/>
        <d v="2025-12-24T00:00:00"/>
        <d v="2025-01-12T00:00:00"/>
        <d v="2025-09-16T00:00:00"/>
        <d v="2025-06-03T00:00:00"/>
        <d v="2025-02-03T00:00:00"/>
        <d v="2025-11-17T00:00:00"/>
        <d v="2025-03-10T00:00:00"/>
        <d v="2025-07-29T00:00:00"/>
        <d v="2025-04-01T00:00:00"/>
        <d v="2025-05-31T00:00:00"/>
        <d v="2025-12-15T00:00:00"/>
        <d v="2025-01-22T00:00:00"/>
        <d v="2025-09-06T00:00:00"/>
        <d v="2025-06-25T00:00:00"/>
        <d v="2025-02-25T00:00:00"/>
        <d v="2025-11-26T00:00:00"/>
        <d v="2025-03-28T00:00:00"/>
        <d v="2025-07-11T00:00:00"/>
        <d v="2025-04-09T00:00:00"/>
        <d v="2025-05-07T00:00:00"/>
        <d v="2025-12-03T00:00:00"/>
        <d v="2025-01-08T00:00:00"/>
        <d v="2025-09-27T00:00:00"/>
        <d v="2025-06-10T00:00:00"/>
        <d v="2025-02-07T00:00:00"/>
        <d v="2025-11-02T00:00:00"/>
        <d v="2025-03-13T00:00:00"/>
        <d v="2025-07-18T00:00:00"/>
        <d v="2025-04-24T00:00:00"/>
        <d v="2025-05-28T00:00:00"/>
        <d v="2025-12-20T00:00:00"/>
        <d v="2025-01-29T00:00:00"/>
        <d v="2025-09-19T00:00:00"/>
        <d v="2025-06-01T00:00:00"/>
        <d v="2025-11-21T00:00:00"/>
        <d v="2025-03-26T00:00:00"/>
        <d v="2025-07-08T00:00:00"/>
        <d v="2025-04-17T00:00:00"/>
        <d v="2025-05-12T00:00:00"/>
        <d v="2025-12-10T00:00:00"/>
        <d v="2025-01-05T00:00:00"/>
        <d v="2025-09-22T00:00:00"/>
      </sharedItems>
      <fieldGroup par="9"/>
    </cacheField>
    <cacheField name="Renovação Automática" numFmtId="0">
      <sharedItems count="2">
        <s v="Sim"/>
        <s v="Não"/>
      </sharedItems>
    </cacheField>
    <cacheField name="Preço de Assiatura" numFmtId="164">
      <sharedItems containsSemiMixedTypes="0" containsString="0" containsNumber="1" minValue="59.9" maxValue="119.9"/>
    </cacheField>
    <cacheField name="Cupom de Desconto" numFmtId="164">
      <sharedItems containsSemiMixedTypes="0" containsString="0" containsNumber="1" containsInteger="1" minValue="0" maxValue="20"/>
    </cacheField>
    <cacheField name="Valor Final" numFmtId="164">
      <sharedItems containsSemiMixedTypes="0" containsString="0" containsNumber="1" minValue="49.9" maxValue="114.9"/>
    </cacheField>
    <cacheField name="Dias (Data de Início)" numFmtId="0" databaseField="0">
      <fieldGroup base="3">
        <rangePr groupBy="days" startDate="2025-01-01T00:00:00" endDate="2026-01-01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6"/>
        </groupItems>
      </fieldGroup>
    </cacheField>
    <cacheField name="Meses (Data de Início)" numFmtId="0" databaseField="0">
      <fieldGroup base="3">
        <rangePr groupBy="months" startDate="2025-01-01T00:00:00" endDate="2026-01-01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 pivotCacheId="8141066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 Figueiredo" refreshedDate="46033.744546643517" createdVersion="8" refreshedVersion="8" minRefreshableVersion="3" recordCount="1" xr:uid="{51C06EFE-4AD8-42F8-9230-635C0D964A97}">
  <cacheSource type="worksheet">
    <worksheetSource name="Tabela3"/>
  </cacheSource>
  <cacheFields count="1">
    <cacheField name="Preço total de quem tem Auto Renovação" numFmtId="164">
      <sharedItems containsSemiMixedTypes="0" containsString="0" containsNumber="1" minValue="28210.199999999997" maxValue="28210.199999999997" count="1">
        <n v="28210.1999999999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 Figueiredo" refreshedDate="46033.747237962962" createdVersion="8" refreshedVersion="8" minRefreshableVersion="3" recordCount="1" xr:uid="{B40FE844-FFB4-44CE-84C3-DF103D8A493A}">
  <cacheSource type="worksheet">
    <worksheetSource ref="D1:F2" sheet="Cálculos"/>
  </cacheSource>
  <cacheFields count="3">
    <cacheField name="Com Renovação" numFmtId="164">
      <sharedItems containsSemiMixedTypes="0" containsString="0" containsNumber="1" minValue="28210.199999999997" maxValue="28210.199999999997"/>
    </cacheField>
    <cacheField name="Sem Renovação" numFmtId="164">
      <sharedItems containsSemiMixedTypes="0" containsString="0" containsNumber="1" minValue="26190.600000000002" maxValue="26190.600000000002"/>
    </cacheField>
    <cacheField name="Total Final" numFmtId="164">
      <sharedItems containsSemiMixedTypes="0" containsString="0" containsNumber="1" minValue="54400.800000000025" maxValue="54400.800000000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n v="5670"/>
    <x v="0"/>
    <x v="0"/>
    <x v="0"/>
    <x v="0"/>
    <n v="119.9"/>
    <n v="20"/>
    <n v="99.9"/>
  </r>
  <r>
    <n v="5671"/>
    <x v="1"/>
    <x v="1"/>
    <x v="1"/>
    <x v="1"/>
    <n v="59.9"/>
    <n v="0"/>
    <n v="59.9"/>
  </r>
  <r>
    <n v="5672"/>
    <x v="2"/>
    <x v="1"/>
    <x v="2"/>
    <x v="0"/>
    <n v="59.9"/>
    <n v="10"/>
    <n v="49.9"/>
  </r>
  <r>
    <n v="5673"/>
    <x v="3"/>
    <x v="0"/>
    <x v="3"/>
    <x v="1"/>
    <n v="119.9"/>
    <n v="5"/>
    <n v="114.9"/>
  </r>
  <r>
    <n v="5674"/>
    <x v="4"/>
    <x v="1"/>
    <x v="4"/>
    <x v="0"/>
    <n v="59.9"/>
    <n v="10"/>
    <n v="49.9"/>
  </r>
  <r>
    <n v="5675"/>
    <x v="5"/>
    <x v="1"/>
    <x v="5"/>
    <x v="1"/>
    <n v="59.9"/>
    <n v="0"/>
    <n v="59.9"/>
  </r>
  <r>
    <n v="5676"/>
    <x v="6"/>
    <x v="1"/>
    <x v="6"/>
    <x v="0"/>
    <n v="59.9"/>
    <n v="10"/>
    <n v="49.9"/>
  </r>
  <r>
    <n v="5677"/>
    <x v="7"/>
    <x v="0"/>
    <x v="7"/>
    <x v="1"/>
    <n v="119.9"/>
    <n v="5"/>
    <n v="114.9"/>
  </r>
  <r>
    <n v="5678"/>
    <x v="8"/>
    <x v="0"/>
    <x v="8"/>
    <x v="0"/>
    <n v="119.9"/>
    <n v="20"/>
    <n v="99.9"/>
  </r>
  <r>
    <n v="5679"/>
    <x v="9"/>
    <x v="0"/>
    <x v="9"/>
    <x v="0"/>
    <n v="119.9"/>
    <n v="20"/>
    <n v="99.9"/>
  </r>
  <r>
    <n v="5680"/>
    <x v="10"/>
    <x v="1"/>
    <x v="10"/>
    <x v="0"/>
    <n v="59.9"/>
    <n v="10"/>
    <n v="49.9"/>
  </r>
  <r>
    <n v="5681"/>
    <x v="11"/>
    <x v="1"/>
    <x v="11"/>
    <x v="0"/>
    <n v="59.9"/>
    <n v="10"/>
    <n v="49.9"/>
  </r>
  <r>
    <n v="5682"/>
    <x v="12"/>
    <x v="1"/>
    <x v="12"/>
    <x v="1"/>
    <n v="59.9"/>
    <n v="0"/>
    <n v="59.9"/>
  </r>
  <r>
    <n v="5683"/>
    <x v="13"/>
    <x v="1"/>
    <x v="13"/>
    <x v="0"/>
    <n v="59.9"/>
    <n v="10"/>
    <n v="49.9"/>
  </r>
  <r>
    <n v="5684"/>
    <x v="14"/>
    <x v="0"/>
    <x v="14"/>
    <x v="0"/>
    <n v="119.9"/>
    <n v="20"/>
    <n v="99.9"/>
  </r>
  <r>
    <n v="5685"/>
    <x v="15"/>
    <x v="0"/>
    <x v="15"/>
    <x v="1"/>
    <n v="119.9"/>
    <n v="5"/>
    <n v="114.9"/>
  </r>
  <r>
    <n v="5686"/>
    <x v="16"/>
    <x v="1"/>
    <x v="16"/>
    <x v="0"/>
    <n v="59.9"/>
    <n v="10"/>
    <n v="49.9"/>
  </r>
  <r>
    <n v="5687"/>
    <x v="17"/>
    <x v="1"/>
    <x v="17"/>
    <x v="0"/>
    <n v="59.9"/>
    <n v="10"/>
    <n v="49.9"/>
  </r>
  <r>
    <n v="5688"/>
    <x v="18"/>
    <x v="1"/>
    <x v="18"/>
    <x v="0"/>
    <n v="59.9"/>
    <n v="10"/>
    <n v="49.9"/>
  </r>
  <r>
    <n v="5689"/>
    <x v="19"/>
    <x v="0"/>
    <x v="19"/>
    <x v="1"/>
    <n v="119.9"/>
    <n v="5"/>
    <n v="114.9"/>
  </r>
  <r>
    <n v="5690"/>
    <x v="20"/>
    <x v="0"/>
    <x v="20"/>
    <x v="1"/>
    <n v="119.9"/>
    <n v="5"/>
    <n v="114.9"/>
  </r>
  <r>
    <n v="5691"/>
    <x v="21"/>
    <x v="0"/>
    <x v="21"/>
    <x v="1"/>
    <n v="119.9"/>
    <n v="5"/>
    <n v="114.9"/>
  </r>
  <r>
    <n v="5692"/>
    <x v="22"/>
    <x v="0"/>
    <x v="22"/>
    <x v="0"/>
    <n v="119.9"/>
    <n v="20"/>
    <n v="99.9"/>
  </r>
  <r>
    <n v="5693"/>
    <x v="23"/>
    <x v="0"/>
    <x v="23"/>
    <x v="1"/>
    <n v="119.9"/>
    <n v="5"/>
    <n v="114.9"/>
  </r>
  <r>
    <n v="5694"/>
    <x v="24"/>
    <x v="0"/>
    <x v="24"/>
    <x v="0"/>
    <n v="119.9"/>
    <n v="20"/>
    <n v="99.9"/>
  </r>
  <r>
    <n v="5695"/>
    <x v="25"/>
    <x v="1"/>
    <x v="25"/>
    <x v="1"/>
    <n v="59.9"/>
    <n v="0"/>
    <n v="59.9"/>
  </r>
  <r>
    <n v="5696"/>
    <x v="26"/>
    <x v="1"/>
    <x v="26"/>
    <x v="0"/>
    <n v="59.9"/>
    <n v="10"/>
    <n v="49.9"/>
  </r>
  <r>
    <n v="5697"/>
    <x v="27"/>
    <x v="0"/>
    <x v="27"/>
    <x v="1"/>
    <n v="119.9"/>
    <n v="5"/>
    <n v="114.9"/>
  </r>
  <r>
    <n v="5698"/>
    <x v="28"/>
    <x v="1"/>
    <x v="28"/>
    <x v="0"/>
    <n v="59.9"/>
    <n v="10"/>
    <n v="49.9"/>
  </r>
  <r>
    <n v="5699"/>
    <x v="29"/>
    <x v="1"/>
    <x v="29"/>
    <x v="1"/>
    <n v="59.9"/>
    <n v="0"/>
    <n v="59.9"/>
  </r>
  <r>
    <n v="5700"/>
    <x v="30"/>
    <x v="0"/>
    <x v="30"/>
    <x v="0"/>
    <n v="119.9"/>
    <n v="20"/>
    <n v="99.9"/>
  </r>
  <r>
    <n v="5701"/>
    <x v="31"/>
    <x v="1"/>
    <x v="31"/>
    <x v="0"/>
    <n v="59.9"/>
    <n v="10"/>
    <n v="49.9"/>
  </r>
  <r>
    <n v="5702"/>
    <x v="32"/>
    <x v="1"/>
    <x v="32"/>
    <x v="0"/>
    <n v="59.9"/>
    <n v="10"/>
    <n v="49.9"/>
  </r>
  <r>
    <n v="5703"/>
    <x v="33"/>
    <x v="1"/>
    <x v="33"/>
    <x v="0"/>
    <n v="59.9"/>
    <n v="10"/>
    <n v="49.9"/>
  </r>
  <r>
    <n v="5704"/>
    <x v="34"/>
    <x v="0"/>
    <x v="34"/>
    <x v="1"/>
    <n v="119.9"/>
    <n v="5"/>
    <n v="114.9"/>
  </r>
  <r>
    <n v="5705"/>
    <x v="35"/>
    <x v="0"/>
    <x v="35"/>
    <x v="0"/>
    <n v="119.9"/>
    <n v="20"/>
    <n v="99.9"/>
  </r>
  <r>
    <n v="5706"/>
    <x v="36"/>
    <x v="0"/>
    <x v="36"/>
    <x v="0"/>
    <n v="119.9"/>
    <n v="20"/>
    <n v="99.9"/>
  </r>
  <r>
    <n v="5707"/>
    <x v="37"/>
    <x v="1"/>
    <x v="37"/>
    <x v="1"/>
    <n v="59.9"/>
    <n v="0"/>
    <n v="59.9"/>
  </r>
  <r>
    <n v="5708"/>
    <x v="38"/>
    <x v="1"/>
    <x v="38"/>
    <x v="0"/>
    <n v="59.9"/>
    <n v="10"/>
    <n v="49.9"/>
  </r>
  <r>
    <n v="5709"/>
    <x v="39"/>
    <x v="1"/>
    <x v="39"/>
    <x v="0"/>
    <n v="59.9"/>
    <n v="10"/>
    <n v="49.9"/>
  </r>
  <r>
    <n v="5710"/>
    <x v="40"/>
    <x v="1"/>
    <x v="40"/>
    <x v="0"/>
    <n v="59.9"/>
    <n v="10"/>
    <n v="49.9"/>
  </r>
  <r>
    <n v="5711"/>
    <x v="41"/>
    <x v="0"/>
    <x v="41"/>
    <x v="1"/>
    <n v="119.9"/>
    <n v="5"/>
    <n v="114.9"/>
  </r>
  <r>
    <n v="5712"/>
    <x v="42"/>
    <x v="0"/>
    <x v="42"/>
    <x v="1"/>
    <n v="119.9"/>
    <n v="5"/>
    <n v="114.9"/>
  </r>
  <r>
    <n v="5713"/>
    <x v="43"/>
    <x v="1"/>
    <x v="43"/>
    <x v="0"/>
    <n v="59.9"/>
    <n v="10"/>
    <n v="49.9"/>
  </r>
  <r>
    <n v="5714"/>
    <x v="44"/>
    <x v="1"/>
    <x v="44"/>
    <x v="1"/>
    <n v="59.9"/>
    <n v="0"/>
    <n v="59.9"/>
  </r>
  <r>
    <n v="5715"/>
    <x v="45"/>
    <x v="1"/>
    <x v="45"/>
    <x v="0"/>
    <n v="59.9"/>
    <n v="10"/>
    <n v="49.9"/>
  </r>
  <r>
    <n v="5716"/>
    <x v="46"/>
    <x v="0"/>
    <x v="46"/>
    <x v="1"/>
    <n v="119.9"/>
    <n v="5"/>
    <n v="114.9"/>
  </r>
  <r>
    <n v="5717"/>
    <x v="47"/>
    <x v="0"/>
    <x v="47"/>
    <x v="0"/>
    <n v="119.9"/>
    <n v="20"/>
    <n v="99.9"/>
  </r>
  <r>
    <n v="5718"/>
    <x v="48"/>
    <x v="0"/>
    <x v="48"/>
    <x v="1"/>
    <n v="119.9"/>
    <n v="5"/>
    <n v="114.9"/>
  </r>
  <r>
    <n v="5719"/>
    <x v="49"/>
    <x v="0"/>
    <x v="49"/>
    <x v="0"/>
    <n v="119.9"/>
    <n v="20"/>
    <n v="99.9"/>
  </r>
  <r>
    <n v="5720"/>
    <x v="50"/>
    <x v="0"/>
    <x v="50"/>
    <x v="1"/>
    <n v="119.9"/>
    <n v="5"/>
    <n v="114.9"/>
  </r>
  <r>
    <n v="5721"/>
    <x v="51"/>
    <x v="0"/>
    <x v="51"/>
    <x v="0"/>
    <n v="119.9"/>
    <n v="20"/>
    <n v="99.9"/>
  </r>
  <r>
    <n v="5722"/>
    <x v="52"/>
    <x v="1"/>
    <x v="52"/>
    <x v="0"/>
    <n v="59.9"/>
    <n v="10"/>
    <n v="49.9"/>
  </r>
  <r>
    <n v="5723"/>
    <x v="53"/>
    <x v="1"/>
    <x v="53"/>
    <x v="0"/>
    <n v="59.9"/>
    <n v="10"/>
    <n v="49.9"/>
  </r>
  <r>
    <n v="5724"/>
    <x v="54"/>
    <x v="0"/>
    <x v="54"/>
    <x v="0"/>
    <n v="119.9"/>
    <n v="20"/>
    <n v="99.9"/>
  </r>
  <r>
    <n v="5725"/>
    <x v="55"/>
    <x v="1"/>
    <x v="55"/>
    <x v="1"/>
    <n v="59.9"/>
    <n v="0"/>
    <n v="59.9"/>
  </r>
  <r>
    <n v="5726"/>
    <x v="56"/>
    <x v="1"/>
    <x v="56"/>
    <x v="0"/>
    <n v="59.9"/>
    <n v="10"/>
    <n v="49.9"/>
  </r>
  <r>
    <n v="5727"/>
    <x v="57"/>
    <x v="0"/>
    <x v="57"/>
    <x v="0"/>
    <n v="119.9"/>
    <n v="20"/>
    <n v="99.9"/>
  </r>
  <r>
    <n v="5728"/>
    <x v="58"/>
    <x v="1"/>
    <x v="58"/>
    <x v="1"/>
    <n v="59.9"/>
    <n v="0"/>
    <n v="59.9"/>
  </r>
  <r>
    <n v="5729"/>
    <x v="59"/>
    <x v="1"/>
    <x v="59"/>
    <x v="0"/>
    <n v="59.9"/>
    <n v="10"/>
    <n v="49.9"/>
  </r>
  <r>
    <n v="5730"/>
    <x v="60"/>
    <x v="1"/>
    <x v="60"/>
    <x v="0"/>
    <n v="59.9"/>
    <n v="10"/>
    <n v="49.9"/>
  </r>
  <r>
    <n v="5731"/>
    <x v="61"/>
    <x v="0"/>
    <x v="61"/>
    <x v="0"/>
    <n v="119.9"/>
    <n v="20"/>
    <n v="99.9"/>
  </r>
  <r>
    <n v="5732"/>
    <x v="62"/>
    <x v="0"/>
    <x v="62"/>
    <x v="1"/>
    <n v="119.9"/>
    <n v="5"/>
    <n v="114.9"/>
  </r>
  <r>
    <n v="5733"/>
    <x v="63"/>
    <x v="0"/>
    <x v="63"/>
    <x v="1"/>
    <n v="119.9"/>
    <n v="5"/>
    <n v="114.9"/>
  </r>
  <r>
    <n v="5734"/>
    <x v="64"/>
    <x v="1"/>
    <x v="64"/>
    <x v="1"/>
    <n v="59.9"/>
    <n v="0"/>
    <n v="59.9"/>
  </r>
  <r>
    <n v="5735"/>
    <x v="65"/>
    <x v="1"/>
    <x v="65"/>
    <x v="0"/>
    <n v="59.9"/>
    <n v="10"/>
    <n v="49.9"/>
  </r>
  <r>
    <n v="5736"/>
    <x v="66"/>
    <x v="1"/>
    <x v="66"/>
    <x v="1"/>
    <n v="59.9"/>
    <n v="0"/>
    <n v="59.9"/>
  </r>
  <r>
    <n v="5737"/>
    <x v="67"/>
    <x v="1"/>
    <x v="67"/>
    <x v="0"/>
    <n v="59.9"/>
    <n v="10"/>
    <n v="49.9"/>
  </r>
  <r>
    <n v="5738"/>
    <x v="68"/>
    <x v="0"/>
    <x v="68"/>
    <x v="1"/>
    <n v="119.9"/>
    <n v="5"/>
    <n v="114.9"/>
  </r>
  <r>
    <n v="5739"/>
    <x v="69"/>
    <x v="0"/>
    <x v="69"/>
    <x v="0"/>
    <n v="119.9"/>
    <n v="20"/>
    <n v="99.9"/>
  </r>
  <r>
    <n v="5740"/>
    <x v="70"/>
    <x v="1"/>
    <x v="70"/>
    <x v="1"/>
    <n v="59.9"/>
    <n v="0"/>
    <n v="59.9"/>
  </r>
  <r>
    <n v="5741"/>
    <x v="71"/>
    <x v="1"/>
    <x v="71"/>
    <x v="0"/>
    <n v="59.9"/>
    <n v="10"/>
    <n v="49.9"/>
  </r>
  <r>
    <n v="5742"/>
    <x v="72"/>
    <x v="1"/>
    <x v="72"/>
    <x v="1"/>
    <n v="59.9"/>
    <n v="0"/>
    <n v="59.9"/>
  </r>
  <r>
    <n v="5743"/>
    <x v="73"/>
    <x v="0"/>
    <x v="73"/>
    <x v="0"/>
    <n v="119.9"/>
    <n v="20"/>
    <n v="99.9"/>
  </r>
  <r>
    <n v="5744"/>
    <x v="74"/>
    <x v="0"/>
    <x v="74"/>
    <x v="0"/>
    <n v="119.9"/>
    <n v="20"/>
    <n v="99.9"/>
  </r>
  <r>
    <n v="5745"/>
    <x v="75"/>
    <x v="0"/>
    <x v="75"/>
    <x v="0"/>
    <n v="119.9"/>
    <n v="20"/>
    <n v="99.9"/>
  </r>
  <r>
    <n v="5746"/>
    <x v="76"/>
    <x v="0"/>
    <x v="76"/>
    <x v="0"/>
    <n v="119.9"/>
    <n v="20"/>
    <n v="99.9"/>
  </r>
  <r>
    <n v="5747"/>
    <x v="77"/>
    <x v="0"/>
    <x v="77"/>
    <x v="1"/>
    <n v="119.9"/>
    <n v="5"/>
    <n v="114.9"/>
  </r>
  <r>
    <n v="5748"/>
    <x v="78"/>
    <x v="0"/>
    <x v="78"/>
    <x v="0"/>
    <n v="119.9"/>
    <n v="20"/>
    <n v="99.9"/>
  </r>
  <r>
    <n v="5749"/>
    <x v="79"/>
    <x v="1"/>
    <x v="79"/>
    <x v="0"/>
    <n v="59.9"/>
    <n v="10"/>
    <n v="49.9"/>
  </r>
  <r>
    <n v="5750"/>
    <x v="80"/>
    <x v="1"/>
    <x v="80"/>
    <x v="1"/>
    <n v="59.9"/>
    <n v="0"/>
    <n v="59.9"/>
  </r>
  <r>
    <n v="5751"/>
    <x v="81"/>
    <x v="0"/>
    <x v="81"/>
    <x v="0"/>
    <n v="119.9"/>
    <n v="20"/>
    <n v="99.9"/>
  </r>
  <r>
    <n v="5752"/>
    <x v="82"/>
    <x v="1"/>
    <x v="82"/>
    <x v="0"/>
    <n v="59.9"/>
    <n v="10"/>
    <n v="49.9"/>
  </r>
  <r>
    <n v="5753"/>
    <x v="83"/>
    <x v="1"/>
    <x v="83"/>
    <x v="0"/>
    <n v="59.9"/>
    <n v="10"/>
    <n v="49.9"/>
  </r>
  <r>
    <n v="5754"/>
    <x v="84"/>
    <x v="0"/>
    <x v="84"/>
    <x v="1"/>
    <n v="119.9"/>
    <n v="5"/>
    <n v="114.9"/>
  </r>
  <r>
    <n v="5755"/>
    <x v="85"/>
    <x v="1"/>
    <x v="85"/>
    <x v="1"/>
    <n v="59.9"/>
    <n v="0"/>
    <n v="59.9"/>
  </r>
  <r>
    <n v="5756"/>
    <x v="86"/>
    <x v="1"/>
    <x v="86"/>
    <x v="1"/>
    <n v="59.9"/>
    <n v="0"/>
    <n v="59.9"/>
  </r>
  <r>
    <n v="5757"/>
    <x v="87"/>
    <x v="1"/>
    <x v="87"/>
    <x v="0"/>
    <n v="59.9"/>
    <n v="10"/>
    <n v="49.9"/>
  </r>
  <r>
    <n v="5758"/>
    <x v="88"/>
    <x v="0"/>
    <x v="88"/>
    <x v="1"/>
    <n v="119.9"/>
    <n v="5"/>
    <n v="114.9"/>
  </r>
  <r>
    <n v="5759"/>
    <x v="89"/>
    <x v="0"/>
    <x v="89"/>
    <x v="0"/>
    <n v="119.9"/>
    <n v="20"/>
    <n v="99.9"/>
  </r>
  <r>
    <n v="5760"/>
    <x v="90"/>
    <x v="0"/>
    <x v="10"/>
    <x v="1"/>
    <n v="119.9"/>
    <n v="5"/>
    <n v="114.9"/>
  </r>
  <r>
    <n v="5761"/>
    <x v="91"/>
    <x v="1"/>
    <x v="90"/>
    <x v="0"/>
    <n v="59.9"/>
    <n v="10"/>
    <n v="49.9"/>
  </r>
  <r>
    <n v="5762"/>
    <x v="92"/>
    <x v="1"/>
    <x v="91"/>
    <x v="1"/>
    <n v="59.9"/>
    <n v="0"/>
    <n v="59.9"/>
  </r>
  <r>
    <n v="5763"/>
    <x v="93"/>
    <x v="1"/>
    <x v="92"/>
    <x v="0"/>
    <n v="59.9"/>
    <n v="10"/>
    <n v="49.9"/>
  </r>
  <r>
    <n v="5764"/>
    <x v="94"/>
    <x v="1"/>
    <x v="93"/>
    <x v="1"/>
    <n v="59.9"/>
    <n v="0"/>
    <n v="59.9"/>
  </r>
  <r>
    <n v="5765"/>
    <x v="95"/>
    <x v="0"/>
    <x v="94"/>
    <x v="0"/>
    <n v="119.9"/>
    <n v="20"/>
    <n v="99.9"/>
  </r>
  <r>
    <n v="5766"/>
    <x v="96"/>
    <x v="0"/>
    <x v="95"/>
    <x v="0"/>
    <n v="119.9"/>
    <n v="20"/>
    <n v="99.9"/>
  </r>
  <r>
    <n v="5767"/>
    <x v="97"/>
    <x v="1"/>
    <x v="96"/>
    <x v="0"/>
    <n v="59.9"/>
    <n v="10"/>
    <n v="49.9"/>
  </r>
  <r>
    <n v="5768"/>
    <x v="98"/>
    <x v="1"/>
    <x v="97"/>
    <x v="0"/>
    <n v="59.9"/>
    <n v="10"/>
    <n v="4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8210.199999999997"/>
    <n v="26190.600000000002"/>
    <n v="54400.800000000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E3F7C-E798-4A88-B690-DFF5AE5CDB16}" name="TABELA ULTIMAT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7:I9" firstHeaderRow="1" firstDataRow="1" firstDataCol="1"/>
  <pivotFields count="10">
    <pivotField showAll="0"/>
    <pivotField showAll="0"/>
    <pivotField axis="axisRow" showAll="0">
      <items count="3">
        <item h="1" x="1"/>
        <item x="0"/>
        <item t="default"/>
      </items>
    </pivotField>
    <pivotField numFmtId="14" showAll="0">
      <items count="99">
        <item x="47"/>
        <item x="7"/>
        <item x="96"/>
        <item x="77"/>
        <item x="17"/>
        <item x="57"/>
        <item x="27"/>
        <item x="67"/>
        <item x="37"/>
        <item x="87"/>
        <item x="20"/>
        <item x="60"/>
        <item x="80"/>
        <item x="40"/>
        <item x="10"/>
        <item x="0"/>
        <item x="50"/>
        <item x="70"/>
        <item x="30"/>
        <item x="42"/>
        <item x="12"/>
        <item x="62"/>
        <item x="82"/>
        <item x="22"/>
        <item x="52"/>
        <item x="2"/>
        <item x="91"/>
        <item x="72"/>
        <item x="32"/>
        <item x="64"/>
        <item x="24"/>
        <item x="74"/>
        <item x="4"/>
        <item x="44"/>
        <item x="93"/>
        <item x="34"/>
        <item x="84"/>
        <item x="54"/>
        <item x="14"/>
        <item x="75"/>
        <item x="35"/>
        <item x="94"/>
        <item x="45"/>
        <item x="5"/>
        <item x="55"/>
        <item x="25"/>
        <item x="85"/>
        <item x="65"/>
        <item x="89"/>
        <item x="15"/>
        <item x="59"/>
        <item x="29"/>
        <item x="79"/>
        <item x="49"/>
        <item x="19"/>
        <item x="69"/>
        <item x="39"/>
        <item x="9"/>
        <item x="33"/>
        <item x="53"/>
        <item x="92"/>
        <item x="3"/>
        <item x="73"/>
        <item x="23"/>
        <item x="83"/>
        <item x="43"/>
        <item x="13"/>
        <item x="63"/>
        <item x="68"/>
        <item x="18"/>
        <item x="38"/>
        <item x="58"/>
        <item x="8"/>
        <item x="88"/>
        <item x="97"/>
        <item x="28"/>
        <item x="78"/>
        <item x="48"/>
        <item x="81"/>
        <item x="21"/>
        <item x="1"/>
        <item x="51"/>
        <item x="31"/>
        <item x="61"/>
        <item x="90"/>
        <item x="11"/>
        <item x="71"/>
        <item x="41"/>
        <item x="76"/>
        <item x="46"/>
        <item x="95"/>
        <item x="66"/>
        <item x="36"/>
        <item x="86"/>
        <item x="56"/>
        <item x="16"/>
        <item x="6"/>
        <item x="26"/>
        <item t="default"/>
      </items>
    </pivotField>
    <pivotField showAll="0"/>
    <pivotField numFmtId="164" showAll="0"/>
    <pivotField numFmtId="164" showAll="0"/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2">
    <i>
      <x v="1"/>
    </i>
    <i t="grand">
      <x/>
    </i>
  </rowItems>
  <colItems count="1">
    <i/>
  </colItems>
  <dataFields count="1">
    <dataField name="Soma de Valor Final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9C45F-C90F-4458-80B4-4932FC7338BC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D7:E10" firstHeaderRow="1" firstDataRow="1" firstDataCol="1"/>
  <pivotFields count="10">
    <pivotField showAll="0"/>
    <pivotField showAll="0">
      <items count="100">
        <item x="47"/>
        <item x="86"/>
        <item x="54"/>
        <item x="36"/>
        <item x="25"/>
        <item x="94"/>
        <item x="0"/>
        <item x="80"/>
        <item x="14"/>
        <item x="13"/>
        <item x="51"/>
        <item x="10"/>
        <item x="90"/>
        <item x="46"/>
        <item x="11"/>
        <item x="6"/>
        <item x="33"/>
        <item x="75"/>
        <item x="87"/>
        <item x="70"/>
        <item x="96"/>
        <item x="30"/>
        <item x="19"/>
        <item x="88"/>
        <item x="71"/>
        <item x="66"/>
        <item x="12"/>
        <item x="56"/>
        <item x="20"/>
        <item x="69"/>
        <item x="65"/>
        <item x="78"/>
        <item x="81"/>
        <item x="58"/>
        <item x="16"/>
        <item x="7"/>
        <item x="41"/>
        <item x="23"/>
        <item x="32"/>
        <item x="77"/>
        <item x="97"/>
        <item x="48"/>
        <item x="28"/>
        <item x="82"/>
        <item x="59"/>
        <item x="1"/>
        <item x="76"/>
        <item x="9"/>
        <item x="61"/>
        <item x="37"/>
        <item x="62"/>
        <item x="24"/>
        <item x="4"/>
        <item x="45"/>
        <item x="85"/>
        <item x="38"/>
        <item x="2"/>
        <item x="5"/>
        <item x="26"/>
        <item x="55"/>
        <item x="93"/>
        <item x="43"/>
        <item x="60"/>
        <item x="73"/>
        <item x="39"/>
        <item x="95"/>
        <item x="52"/>
        <item x="74"/>
        <item x="21"/>
        <item x="15"/>
        <item x="57"/>
        <item x="79"/>
        <item x="3"/>
        <item x="31"/>
        <item x="8"/>
        <item x="84"/>
        <item x="67"/>
        <item x="17"/>
        <item x="40"/>
        <item x="89"/>
        <item x="49"/>
        <item x="68"/>
        <item x="34"/>
        <item x="98"/>
        <item x="53"/>
        <item x="64"/>
        <item x="44"/>
        <item x="35"/>
        <item x="91"/>
        <item x="63"/>
        <item x="27"/>
        <item x="83"/>
        <item x="18"/>
        <item x="92"/>
        <item x="29"/>
        <item x="22"/>
        <item x="50"/>
        <item x="72"/>
        <item x="42"/>
        <item t="default"/>
      </items>
    </pivotField>
    <pivotField showAll="0">
      <items count="3">
        <item sd="0" x="1"/>
        <item sd="0" x="0"/>
        <item t="default"/>
      </items>
    </pivotField>
    <pivotField numFmtId="14" showAll="0">
      <items count="99">
        <item x="47"/>
        <item x="7"/>
        <item x="96"/>
        <item x="77"/>
        <item x="17"/>
        <item x="57"/>
        <item x="27"/>
        <item x="67"/>
        <item x="37"/>
        <item x="87"/>
        <item x="20"/>
        <item x="60"/>
        <item x="80"/>
        <item x="40"/>
        <item x="10"/>
        <item x="0"/>
        <item x="50"/>
        <item x="70"/>
        <item x="30"/>
        <item x="42"/>
        <item x="12"/>
        <item x="62"/>
        <item x="82"/>
        <item x="22"/>
        <item x="52"/>
        <item x="2"/>
        <item x="91"/>
        <item x="72"/>
        <item x="32"/>
        <item x="64"/>
        <item x="24"/>
        <item x="74"/>
        <item x="4"/>
        <item x="44"/>
        <item x="93"/>
        <item x="34"/>
        <item x="84"/>
        <item x="54"/>
        <item x="14"/>
        <item x="75"/>
        <item x="35"/>
        <item x="94"/>
        <item x="45"/>
        <item x="5"/>
        <item x="55"/>
        <item x="25"/>
        <item x="85"/>
        <item x="65"/>
        <item x="89"/>
        <item x="15"/>
        <item x="59"/>
        <item x="29"/>
        <item x="79"/>
        <item x="49"/>
        <item x="19"/>
        <item x="69"/>
        <item x="39"/>
        <item x="9"/>
        <item x="33"/>
        <item x="53"/>
        <item x="92"/>
        <item x="3"/>
        <item x="73"/>
        <item x="23"/>
        <item x="83"/>
        <item x="43"/>
        <item x="13"/>
        <item x="63"/>
        <item x="68"/>
        <item x="18"/>
        <item x="38"/>
        <item x="58"/>
        <item x="8"/>
        <item x="88"/>
        <item x="97"/>
        <item x="28"/>
        <item x="78"/>
        <item x="48"/>
        <item x="81"/>
        <item x="21"/>
        <item x="1"/>
        <item x="51"/>
        <item x="31"/>
        <item x="61"/>
        <item x="90"/>
        <item x="11"/>
        <item x="71"/>
        <item x="41"/>
        <item x="76"/>
        <item x="46"/>
        <item x="95"/>
        <item x="66"/>
        <item x="36"/>
        <item x="86"/>
        <item x="56"/>
        <item x="16"/>
        <item x="6"/>
        <item x="26"/>
        <item t="default"/>
      </items>
    </pivotField>
    <pivotField axis="axisRow" showAll="0">
      <items count="3">
        <item x="1"/>
        <item x="0"/>
        <item t="default"/>
      </items>
    </pivotField>
    <pivotField numFmtId="164" showAll="0"/>
    <pivotField numFmtId="164" showAll="0"/>
    <pivotField dataField="1" numFmtId="16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Valor Final" fld="7" baseField="0" baseItem="0" numFmtId="164"/>
  </dataFields>
  <formats count="1">
    <format dxfId="25">
      <pivotArea outline="0" collapsedLevelsAreSubtotals="1" fieldPosition="0"/>
    </format>
  </formats>
  <chartFormats count="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965AA-2648-4850-91E2-3125669055DF}" name="Tabela dinâ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K13:M14" firstHeaderRow="0" firstDataRow="1" firstDataCol="0"/>
  <pivotFields count="3">
    <pivotField dataField="1" numFmtId="164" showAll="0"/>
    <pivotField dataField="1" numFmtId="164" showAll="0"/>
    <pivotField dataField="1"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m Renovação Automática" fld="0" baseField="0" baseItem="1" numFmtId="164"/>
    <dataField name="Sem Renovação Automática" fld="1" baseField="0" baseItem="1" numFmtId="164"/>
    <dataField name="Total" fld="2" baseField="0" baseItem="2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2939F-886F-42B2-A25C-BAE862CB1A4A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D27:D28" firstHeaderRow="1" firstDataRow="1" firstDataCol="0"/>
  <pivotFields count="1">
    <pivotField dataField="1" numFmtId="164" showAll="0">
      <items count="2">
        <item x="0"/>
        <item t="default"/>
      </items>
    </pivotField>
  </pivotFields>
  <rowItems count="1">
    <i/>
  </rowItems>
  <colItems count="1">
    <i/>
  </colItems>
  <dataFields count="1">
    <dataField name="Soma de Preço total de quem tem Auto Renovação" fld="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EF854-B2F2-4C03-A55E-CC4F99AA2D4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7:L9" firstHeaderRow="1" firstDataRow="1" firstDataCol="1"/>
  <pivotFields count="10">
    <pivotField showAll="0"/>
    <pivotField showAll="0"/>
    <pivotField axis="axisRow" showAll="0">
      <items count="3">
        <item x="1"/>
        <item h="1" x="0"/>
        <item t="default"/>
      </items>
    </pivotField>
    <pivotField numFmtId="14" showAll="0">
      <items count="99">
        <item x="47"/>
        <item x="7"/>
        <item x="96"/>
        <item x="77"/>
        <item x="17"/>
        <item x="57"/>
        <item x="27"/>
        <item x="67"/>
        <item x="37"/>
        <item x="87"/>
        <item x="20"/>
        <item x="60"/>
        <item x="80"/>
        <item x="40"/>
        <item x="10"/>
        <item x="0"/>
        <item x="50"/>
        <item x="70"/>
        <item x="30"/>
        <item x="42"/>
        <item x="12"/>
        <item x="62"/>
        <item x="82"/>
        <item x="22"/>
        <item x="52"/>
        <item x="2"/>
        <item x="91"/>
        <item x="72"/>
        <item x="32"/>
        <item x="64"/>
        <item x="24"/>
        <item x="74"/>
        <item x="4"/>
        <item x="44"/>
        <item x="93"/>
        <item x="34"/>
        <item x="84"/>
        <item x="54"/>
        <item x="14"/>
        <item x="75"/>
        <item x="35"/>
        <item x="94"/>
        <item x="45"/>
        <item x="5"/>
        <item x="55"/>
        <item x="25"/>
        <item x="85"/>
        <item x="65"/>
        <item x="89"/>
        <item x="15"/>
        <item x="59"/>
        <item x="29"/>
        <item x="79"/>
        <item x="49"/>
        <item x="19"/>
        <item x="69"/>
        <item x="39"/>
        <item x="9"/>
        <item x="33"/>
        <item x="53"/>
        <item x="92"/>
        <item x="3"/>
        <item x="73"/>
        <item x="23"/>
        <item x="83"/>
        <item x="43"/>
        <item x="13"/>
        <item x="63"/>
        <item x="68"/>
        <item x="18"/>
        <item x="38"/>
        <item x="58"/>
        <item x="8"/>
        <item x="88"/>
        <item x="97"/>
        <item x="28"/>
        <item x="78"/>
        <item x="48"/>
        <item x="81"/>
        <item x="21"/>
        <item x="1"/>
        <item x="51"/>
        <item x="31"/>
        <item x="61"/>
        <item x="90"/>
        <item x="11"/>
        <item x="71"/>
        <item x="41"/>
        <item x="76"/>
        <item x="46"/>
        <item x="95"/>
        <item x="66"/>
        <item x="36"/>
        <item x="86"/>
        <item x="56"/>
        <item x="16"/>
        <item x="6"/>
        <item x="26"/>
        <item t="default"/>
      </items>
    </pivotField>
    <pivotField showAll="0"/>
    <pivotField numFmtId="164" showAll="0"/>
    <pivotField numFmtId="164" showAll="0"/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name="Soma de Valor Final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o" xr10:uid="{30C75840-9B94-4EDB-821A-48406B210EB1}" sourceName="Plano">
  <pivotTables>
    <pivotTable tabId="3" name="Tabela dinâmica4"/>
  </pivotTables>
  <data>
    <tabular pivotCacheId="814106696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o" xr10:uid="{D8DA8DEE-BCA5-42A6-A3DF-00F07CC0B67D}" cache="SegmentaçãodeDados_Plano" caption="Plano" style="SlicerStyleDark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o 1" xr10:uid="{D8FAA242-F7FD-4782-AF5D-597588A5A755}" cache="SegmentaçãodeDados_Plano" caption="Plano" style="Estilo de Segmentação de Dados 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5B8C2-21DB-44C9-9C75-FE28645A86B2}" name="Tabela1" displayName="Tabela1" ref="A1:H100" totalsRowShown="0" headerRowDxfId="38" dataDxfId="36" headerRowBorderDxfId="37" tableBorderDxfId="35" totalsRowBorderDxfId="34">
  <autoFilter ref="A1:H100" xr:uid="{4285B8C2-21DB-44C9-9C75-FE28645A86B2}"/>
  <tableColumns count="8">
    <tableColumn id="1" xr3:uid="{F71AC3DA-024F-40B2-BB6E-50661E0BFC4D}" name="ID de Assinatura do Usuário" dataDxfId="33"/>
    <tableColumn id="2" xr3:uid="{4DEE878D-B243-4E65-B167-9600F9B846E5}" name="Nome" dataDxfId="32"/>
    <tableColumn id="3" xr3:uid="{49EC53F3-CC73-4ED3-B681-4764F2D8BB72}" name="Plano" dataDxfId="31"/>
    <tableColumn id="4" xr3:uid="{6E2C55AD-1CD3-409C-B532-BE67E4C0CBF2}" name="Data de Início" dataDxfId="30"/>
    <tableColumn id="5" xr3:uid="{698E3E66-F2CA-40C1-8510-05BB79763EA7}" name="Renovação Automática" dataDxfId="29"/>
    <tableColumn id="6" xr3:uid="{067F0F6A-D518-4B12-AE3E-1E0AD9DBAA9A}" name="Preço de Assiatura" dataDxfId="28">
      <calculatedColumnFormula>IF(C2="Ultimate", 119.9, IF(C2="Premium", 59.9))</calculatedColumnFormula>
    </tableColumn>
    <tableColumn id="7" xr3:uid="{5F51CE2A-B489-4ECA-B16A-B0F0904FDFAB}" name="Cupom de Desconto" dataDxfId="27" dataCellStyle="Moeda">
      <calculatedColumnFormula>IF(AND(C2="Ultimate",E2="Sim"),20,IF(AND(C2="Ultimate",E2="Não"),5,IF(AND(C2="Premium",E2="Sim"),10,IF(AND(C2="Premium",E2="Não"),0))))</calculatedColumnFormula>
    </tableColumn>
    <tableColumn id="8" xr3:uid="{FDA5B611-A8E9-425D-82A6-C6777FC17CCC}" name="Valor Final" dataDxfId="26">
      <calculatedColumnFormula>SUM(F2-G2)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5F6676-9B06-408D-ACB4-19916242B583}" name="Tabela2" displayName="Tabela2" ref="A1:B100" totalsRowShown="0" headerRowDxfId="24" dataDxfId="22" headerRowBorderDxfId="23" tableBorderDxfId="21" totalsRowBorderDxfId="20">
  <autoFilter ref="A1:B100" xr:uid="{D25F6676-9B06-408D-ACB4-19916242B583}"/>
  <tableColumns count="2">
    <tableColumn id="1" xr3:uid="{0F4B5468-15B2-4B4F-A9DF-07AFDA4AA5A8}" name="ID de Assinatura do Usuário" dataDxfId="19"/>
    <tableColumn id="2" xr3:uid="{056E8D84-3256-4B6D-BA87-16D62E5C0B2C}" name="Preço Final" dataDxfId="18">
      <calculatedColumnFormula>IF(Bases!D2&gt;DATE(2025,12,31),0,
((YEAR(DATE(2025,12,31))-YEAR(Bases!D2))*12 + (MONTH(DATE(2025,12,31))-MONTH(Bases!D2)) + 1) * Bases!H2)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5DAE4F-C1D4-445C-B6A3-2C75CBB78A3C}" name="Tabela3" displayName="Tabela3" ref="D1:D2" totalsRowShown="0" headerRowDxfId="17" dataDxfId="16">
  <autoFilter ref="D1:D2" xr:uid="{CD5DAE4F-C1D4-445C-B6A3-2C75CBB78A3C}"/>
  <tableColumns count="1">
    <tableColumn id="1" xr3:uid="{A9E1339E-BA90-40D4-B44B-7DBF89DB48C2}" name="Com Renovação" dataDxfId="15">
      <calculatedColumnFormula>SUMIF(Bases!E:E,"Sim",Cálculos!B:B)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504EB-589A-4763-A10F-E4812BC3F483}" name="Tabela5" displayName="Tabela5" ref="F1:F2" totalsRowShown="0" headerRowDxfId="14" dataDxfId="12" headerRowBorderDxfId="13" tableBorderDxfId="11" totalsRowBorderDxfId="10">
  <autoFilter ref="F1:F2" xr:uid="{307504EB-589A-4763-A10F-E4812BC3F483}"/>
  <tableColumns count="1">
    <tableColumn id="1" xr3:uid="{68DD4A34-A74B-4D79-85AA-BE275FBE5B4F}" name="Total Final" dataDxfId="9">
      <calculatedColumnFormula>SUM(B:B)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DCBB69-4C2D-430C-A537-D1F80407AAD9}" name="Tabela47" displayName="Tabela47" ref="E1:E2" totalsRowShown="0" headerRowDxfId="8" dataDxfId="7" tableBorderDxfId="6">
  <autoFilter ref="E1:E2" xr:uid="{23DCBB69-4C2D-430C-A537-D1F80407AAD9}"/>
  <tableColumns count="1">
    <tableColumn id="1" xr3:uid="{6C6F4A2C-0F98-4FF7-8E06-C43051652A93}" name="Sem Renovação" dataDxfId="5">
      <calculatedColumnFormula>SUMIF(Bases!E:E,"Não",Cálculos!B:B)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9272-E8E5-439C-A298-744C8F8E4086}">
  <dimension ref="B2:L20"/>
  <sheetViews>
    <sheetView zoomScale="130" zoomScaleNormal="130" workbookViewId="0">
      <selection activeCell="Z16" sqref="Z16"/>
    </sheetView>
  </sheetViews>
  <sheetFormatPr defaultRowHeight="15"/>
  <cols>
    <col min="1" max="1" width="9.140625" style="1"/>
    <col min="2" max="2" width="9.140625" style="1" customWidth="1"/>
    <col min="3" max="16384" width="9.140625" style="1"/>
  </cols>
  <sheetData>
    <row r="2" spans="2:12" ht="24" thickBot="1">
      <c r="B2" s="2" t="s">
        <v>0</v>
      </c>
      <c r="C2" s="2"/>
      <c r="D2" s="2"/>
      <c r="E2" s="2"/>
      <c r="F2" s="2"/>
      <c r="H2" s="2" t="s">
        <v>10</v>
      </c>
      <c r="I2" s="2"/>
      <c r="J2" s="2"/>
      <c r="K2" s="2"/>
      <c r="L2" s="2"/>
    </row>
    <row r="4" spans="2:12">
      <c r="B4" s="3" t="s">
        <v>2</v>
      </c>
      <c r="C4" s="1" t="s">
        <v>5</v>
      </c>
    </row>
    <row r="5" spans="2:12">
      <c r="B5" s="4" t="s">
        <v>3</v>
      </c>
      <c r="C5" s="1" t="s">
        <v>6</v>
      </c>
    </row>
    <row r="6" spans="2:12">
      <c r="B6" s="5" t="s">
        <v>7</v>
      </c>
      <c r="C6" s="1" t="s">
        <v>4</v>
      </c>
    </row>
    <row r="7" spans="2:12">
      <c r="B7" s="6" t="s">
        <v>8</v>
      </c>
      <c r="C7" s="1" t="s">
        <v>1</v>
      </c>
    </row>
    <row r="11" spans="2:12" ht="24" thickBot="1">
      <c r="B11" s="2" t="s">
        <v>9</v>
      </c>
      <c r="C11" s="2"/>
      <c r="D11" s="2"/>
      <c r="E11" s="2"/>
      <c r="F11" s="2"/>
    </row>
    <row r="13" spans="2:12">
      <c r="B13"/>
    </row>
    <row r="16" spans="2:12">
      <c r="B16"/>
    </row>
    <row r="17" spans="2:3">
      <c r="C17"/>
    </row>
    <row r="20" spans="2:3">
      <c r="B20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5AA5-0906-4C1A-B726-3725FC535929}">
  <dimension ref="A1:H100"/>
  <sheetViews>
    <sheetView topLeftCell="A2" zoomScaleNormal="100" workbookViewId="0">
      <selection activeCell="Z16" sqref="Z16"/>
    </sheetView>
  </sheetViews>
  <sheetFormatPr defaultRowHeight="15"/>
  <cols>
    <col min="1" max="1" width="30.42578125" style="8" bestFit="1" customWidth="1"/>
    <col min="2" max="2" width="18.85546875" style="8" bestFit="1" customWidth="1"/>
    <col min="3" max="3" width="10.5703125" style="37" customWidth="1"/>
    <col min="4" max="4" width="17.7109375" style="38" bestFit="1" customWidth="1"/>
    <col min="5" max="5" width="26.140625" style="37" bestFit="1" customWidth="1"/>
    <col min="6" max="6" width="22.140625" style="37" bestFit="1" customWidth="1"/>
    <col min="7" max="7" width="23.5703125" style="39" bestFit="1" customWidth="1"/>
    <col min="8" max="8" width="15" style="37" bestFit="1" customWidth="1"/>
    <col min="9" max="16384" width="9.140625" style="1"/>
  </cols>
  <sheetData>
    <row r="1" spans="1:8">
      <c r="A1" s="9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1" t="s">
        <v>18</v>
      </c>
    </row>
    <row r="2" spans="1:8">
      <c r="A2" s="12">
        <v>5670</v>
      </c>
      <c r="B2" s="13" t="s">
        <v>23</v>
      </c>
      <c r="C2" s="13" t="s">
        <v>19</v>
      </c>
      <c r="D2" s="14">
        <v>45704</v>
      </c>
      <c r="E2" s="13" t="s">
        <v>20</v>
      </c>
      <c r="F2" s="15">
        <f>IF(C2="Ultimate", 119.9, IF(C2="Premium", 59.9))</f>
        <v>119.9</v>
      </c>
      <c r="G2" s="16">
        <f>IF(AND(C2="Ultimate",E2="Sim"),20,IF(AND(C2="Ultimate",E2="Não"),5,IF(AND(C2="Premium",E2="Sim"),10,IF(AND(C2="Premium",E2="Não"),0))))</f>
        <v>20</v>
      </c>
      <c r="H2" s="17">
        <f>SUM(F2-G2)</f>
        <v>99.9</v>
      </c>
    </row>
    <row r="3" spans="1:8">
      <c r="A3" s="12">
        <v>5671</v>
      </c>
      <c r="B3" s="13" t="s">
        <v>24</v>
      </c>
      <c r="C3" s="13" t="s">
        <v>22</v>
      </c>
      <c r="D3" s="14">
        <v>45966</v>
      </c>
      <c r="E3" s="13" t="s">
        <v>21</v>
      </c>
      <c r="F3" s="15">
        <f t="shared" ref="F3:F66" si="0">IF(C3="Ultimate", 119.9, IF(C3="Premium", 59.9))</f>
        <v>59.9</v>
      </c>
      <c r="G3" s="16">
        <f t="shared" ref="G3:G66" si="1">IF(AND(C3="Ultimate",E3="Sim"),20,IF(AND(C3="Ultimate",E3="Não"),5,IF(AND(C3="Premium",E3="Sim"),10,IF(AND(C3="Premium",E3="Não"),0))))</f>
        <v>0</v>
      </c>
      <c r="H3" s="17">
        <f t="shared" ref="H3:H66" si="2">SUM(F3-G3)</f>
        <v>59.9</v>
      </c>
    </row>
    <row r="4" spans="1:8">
      <c r="A4" s="12">
        <v>5672</v>
      </c>
      <c r="B4" s="13" t="s">
        <v>25</v>
      </c>
      <c r="C4" s="13" t="s">
        <v>22</v>
      </c>
      <c r="D4" s="14">
        <v>45740</v>
      </c>
      <c r="E4" s="13" t="s">
        <v>20</v>
      </c>
      <c r="F4" s="15">
        <f t="shared" si="0"/>
        <v>59.9</v>
      </c>
      <c r="G4" s="16">
        <f t="shared" si="1"/>
        <v>10</v>
      </c>
      <c r="H4" s="17">
        <f t="shared" si="2"/>
        <v>49.9</v>
      </c>
    </row>
    <row r="5" spans="1:8">
      <c r="A5" s="12">
        <v>5673</v>
      </c>
      <c r="B5" s="13" t="s">
        <v>26</v>
      </c>
      <c r="C5" s="13" t="s">
        <v>19</v>
      </c>
      <c r="D5" s="14">
        <v>45847</v>
      </c>
      <c r="E5" s="13" t="s">
        <v>21</v>
      </c>
      <c r="F5" s="15">
        <f t="shared" si="0"/>
        <v>119.9</v>
      </c>
      <c r="G5" s="16">
        <f t="shared" si="1"/>
        <v>5</v>
      </c>
      <c r="H5" s="17">
        <f t="shared" si="2"/>
        <v>114.9</v>
      </c>
    </row>
    <row r="6" spans="1:8">
      <c r="A6" s="12">
        <v>5674</v>
      </c>
      <c r="B6" s="13" t="s">
        <v>27</v>
      </c>
      <c r="C6" s="13" t="s">
        <v>22</v>
      </c>
      <c r="D6" s="14">
        <v>45759</v>
      </c>
      <c r="E6" s="13" t="s">
        <v>20</v>
      </c>
      <c r="F6" s="15">
        <f t="shared" si="0"/>
        <v>59.9</v>
      </c>
      <c r="G6" s="16">
        <f t="shared" si="1"/>
        <v>10</v>
      </c>
      <c r="H6" s="17">
        <f t="shared" si="2"/>
        <v>49.9</v>
      </c>
    </row>
    <row r="7" spans="1:8">
      <c r="A7" s="12">
        <v>5675</v>
      </c>
      <c r="B7" s="13" t="s">
        <v>28</v>
      </c>
      <c r="C7" s="13" t="s">
        <v>22</v>
      </c>
      <c r="D7" s="14">
        <v>45798</v>
      </c>
      <c r="E7" s="13" t="s">
        <v>21</v>
      </c>
      <c r="F7" s="15">
        <f t="shared" si="0"/>
        <v>59.9</v>
      </c>
      <c r="G7" s="16">
        <f t="shared" si="1"/>
        <v>0</v>
      </c>
      <c r="H7" s="17">
        <f t="shared" si="2"/>
        <v>59.9</v>
      </c>
    </row>
    <row r="8" spans="1:8">
      <c r="A8" s="12">
        <v>5676</v>
      </c>
      <c r="B8" s="13" t="s">
        <v>29</v>
      </c>
      <c r="C8" s="13" t="s">
        <v>22</v>
      </c>
      <c r="D8" s="14">
        <v>46019</v>
      </c>
      <c r="E8" s="13" t="s">
        <v>20</v>
      </c>
      <c r="F8" s="15">
        <f t="shared" si="0"/>
        <v>59.9</v>
      </c>
      <c r="G8" s="16">
        <f t="shared" si="1"/>
        <v>10</v>
      </c>
      <c r="H8" s="17">
        <f t="shared" si="2"/>
        <v>49.9</v>
      </c>
    </row>
    <row r="9" spans="1:8">
      <c r="A9" s="12">
        <v>5677</v>
      </c>
      <c r="B9" s="13" t="s">
        <v>30</v>
      </c>
      <c r="C9" s="13" t="s">
        <v>19</v>
      </c>
      <c r="D9" s="14">
        <v>45660</v>
      </c>
      <c r="E9" s="13" t="s">
        <v>21</v>
      </c>
      <c r="F9" s="15">
        <f t="shared" si="0"/>
        <v>119.9</v>
      </c>
      <c r="G9" s="16">
        <f t="shared" si="1"/>
        <v>5</v>
      </c>
      <c r="H9" s="17">
        <f t="shared" si="2"/>
        <v>114.9</v>
      </c>
    </row>
    <row r="10" spans="1:8">
      <c r="A10" s="12">
        <v>5678</v>
      </c>
      <c r="B10" s="13" t="s">
        <v>31</v>
      </c>
      <c r="C10" s="13" t="s">
        <v>19</v>
      </c>
      <c r="D10" s="14">
        <v>45918</v>
      </c>
      <c r="E10" s="13" t="s">
        <v>20</v>
      </c>
      <c r="F10" s="15">
        <f t="shared" si="0"/>
        <v>119.9</v>
      </c>
      <c r="G10" s="16">
        <f t="shared" si="1"/>
        <v>20</v>
      </c>
      <c r="H10" s="17">
        <f t="shared" si="2"/>
        <v>99.9</v>
      </c>
    </row>
    <row r="11" spans="1:8">
      <c r="A11" s="12">
        <v>5679</v>
      </c>
      <c r="B11" s="13" t="s">
        <v>32</v>
      </c>
      <c r="C11" s="13" t="s">
        <v>19</v>
      </c>
      <c r="D11" s="14">
        <v>45838</v>
      </c>
      <c r="E11" s="13" t="s">
        <v>20</v>
      </c>
      <c r="F11" s="15">
        <f t="shared" si="0"/>
        <v>119.9</v>
      </c>
      <c r="G11" s="16">
        <f t="shared" si="1"/>
        <v>20</v>
      </c>
      <c r="H11" s="17">
        <f t="shared" si="2"/>
        <v>99.9</v>
      </c>
    </row>
    <row r="12" spans="1:8">
      <c r="A12" s="12">
        <v>5680</v>
      </c>
      <c r="B12" s="13" t="s">
        <v>33</v>
      </c>
      <c r="C12" s="13" t="s">
        <v>22</v>
      </c>
      <c r="D12" s="14">
        <v>45702</v>
      </c>
      <c r="E12" s="13" t="s">
        <v>20</v>
      </c>
      <c r="F12" s="15">
        <f t="shared" si="0"/>
        <v>59.9</v>
      </c>
      <c r="G12" s="16">
        <f t="shared" si="1"/>
        <v>10</v>
      </c>
      <c r="H12" s="17">
        <f t="shared" si="2"/>
        <v>49.9</v>
      </c>
    </row>
    <row r="13" spans="1:8">
      <c r="A13" s="12">
        <v>5681</v>
      </c>
      <c r="B13" s="13" t="s">
        <v>34</v>
      </c>
      <c r="C13" s="13" t="s">
        <v>22</v>
      </c>
      <c r="D13" s="14">
        <v>45983</v>
      </c>
      <c r="E13" s="13" t="s">
        <v>20</v>
      </c>
      <c r="F13" s="15">
        <f t="shared" si="0"/>
        <v>59.9</v>
      </c>
      <c r="G13" s="16">
        <f t="shared" si="1"/>
        <v>10</v>
      </c>
      <c r="H13" s="17">
        <f t="shared" si="2"/>
        <v>49.9</v>
      </c>
    </row>
    <row r="14" spans="1:8">
      <c r="A14" s="12">
        <v>5682</v>
      </c>
      <c r="B14" s="13" t="s">
        <v>35</v>
      </c>
      <c r="C14" s="13" t="s">
        <v>22</v>
      </c>
      <c r="D14" s="14">
        <v>45723</v>
      </c>
      <c r="E14" s="13" t="s">
        <v>21</v>
      </c>
      <c r="F14" s="15">
        <f t="shared" si="0"/>
        <v>59.9</v>
      </c>
      <c r="G14" s="16">
        <f t="shared" si="1"/>
        <v>0</v>
      </c>
      <c r="H14" s="17">
        <f t="shared" si="2"/>
        <v>59.9</v>
      </c>
    </row>
    <row r="15" spans="1:8">
      <c r="A15" s="12">
        <v>5683</v>
      </c>
      <c r="B15" s="13" t="s">
        <v>36</v>
      </c>
      <c r="C15" s="13" t="s">
        <v>22</v>
      </c>
      <c r="D15" s="14">
        <v>45863</v>
      </c>
      <c r="E15" s="13" t="s">
        <v>20</v>
      </c>
      <c r="F15" s="15">
        <f t="shared" si="0"/>
        <v>59.9</v>
      </c>
      <c r="G15" s="16">
        <f t="shared" si="1"/>
        <v>10</v>
      </c>
      <c r="H15" s="17">
        <f t="shared" si="2"/>
        <v>49.9</v>
      </c>
    </row>
    <row r="16" spans="1:8">
      <c r="A16" s="12">
        <v>5684</v>
      </c>
      <c r="B16" s="13" t="s">
        <v>37</v>
      </c>
      <c r="C16" s="13" t="s">
        <v>19</v>
      </c>
      <c r="D16" s="14">
        <v>45776</v>
      </c>
      <c r="E16" s="13" t="s">
        <v>20</v>
      </c>
      <c r="F16" s="15">
        <f t="shared" si="0"/>
        <v>119.9</v>
      </c>
      <c r="G16" s="16">
        <f t="shared" si="1"/>
        <v>20</v>
      </c>
      <c r="H16" s="17">
        <f t="shared" si="2"/>
        <v>99.9</v>
      </c>
    </row>
    <row r="17" spans="1:8">
      <c r="A17" s="12">
        <v>5685</v>
      </c>
      <c r="B17" s="13" t="s">
        <v>38</v>
      </c>
      <c r="C17" s="13" t="s">
        <v>19</v>
      </c>
      <c r="D17" s="14">
        <v>45810</v>
      </c>
      <c r="E17" s="13" t="s">
        <v>21</v>
      </c>
      <c r="F17" s="15">
        <f t="shared" si="0"/>
        <v>119.9</v>
      </c>
      <c r="G17" s="16">
        <f t="shared" si="1"/>
        <v>5</v>
      </c>
      <c r="H17" s="17">
        <f t="shared" si="2"/>
        <v>114.9</v>
      </c>
    </row>
    <row r="18" spans="1:8">
      <c r="A18" s="12">
        <v>5686</v>
      </c>
      <c r="B18" s="13" t="s">
        <v>39</v>
      </c>
      <c r="C18" s="13" t="s">
        <v>22</v>
      </c>
      <c r="D18" s="14">
        <v>46016</v>
      </c>
      <c r="E18" s="13" t="s">
        <v>20</v>
      </c>
      <c r="F18" s="15">
        <f t="shared" si="0"/>
        <v>59.9</v>
      </c>
      <c r="G18" s="16">
        <f t="shared" si="1"/>
        <v>10</v>
      </c>
      <c r="H18" s="17">
        <f t="shared" si="2"/>
        <v>49.9</v>
      </c>
    </row>
    <row r="19" spans="1:8">
      <c r="A19" s="12">
        <v>5687</v>
      </c>
      <c r="B19" s="13" t="s">
        <v>40</v>
      </c>
      <c r="C19" s="13" t="s">
        <v>22</v>
      </c>
      <c r="D19" s="14">
        <v>45667</v>
      </c>
      <c r="E19" s="13" t="s">
        <v>20</v>
      </c>
      <c r="F19" s="15">
        <f t="shared" si="0"/>
        <v>59.9</v>
      </c>
      <c r="G19" s="16">
        <f t="shared" si="1"/>
        <v>10</v>
      </c>
      <c r="H19" s="17">
        <f t="shared" si="2"/>
        <v>49.9</v>
      </c>
    </row>
    <row r="20" spans="1:8">
      <c r="A20" s="12">
        <v>5688</v>
      </c>
      <c r="B20" s="13" t="s">
        <v>41</v>
      </c>
      <c r="C20" s="13" t="s">
        <v>22</v>
      </c>
      <c r="D20" s="14">
        <v>45908</v>
      </c>
      <c r="E20" s="13" t="s">
        <v>20</v>
      </c>
      <c r="F20" s="15">
        <f t="shared" si="0"/>
        <v>59.9</v>
      </c>
      <c r="G20" s="16">
        <f t="shared" si="1"/>
        <v>10</v>
      </c>
      <c r="H20" s="17">
        <f t="shared" si="2"/>
        <v>49.9</v>
      </c>
    </row>
    <row r="21" spans="1:8">
      <c r="A21" s="12">
        <v>5689</v>
      </c>
      <c r="B21" s="13" t="s">
        <v>42</v>
      </c>
      <c r="C21" s="13" t="s">
        <v>19</v>
      </c>
      <c r="D21" s="14">
        <v>45827</v>
      </c>
      <c r="E21" s="13" t="s">
        <v>21</v>
      </c>
      <c r="F21" s="15">
        <f t="shared" si="0"/>
        <v>119.9</v>
      </c>
      <c r="G21" s="16">
        <f t="shared" si="1"/>
        <v>5</v>
      </c>
      <c r="H21" s="17">
        <f t="shared" si="2"/>
        <v>114.9</v>
      </c>
    </row>
    <row r="22" spans="1:8">
      <c r="A22" s="12">
        <v>5690</v>
      </c>
      <c r="B22" s="13" t="s">
        <v>43</v>
      </c>
      <c r="C22" s="13" t="s">
        <v>19</v>
      </c>
      <c r="D22" s="14">
        <v>45689</v>
      </c>
      <c r="E22" s="13" t="s">
        <v>21</v>
      </c>
      <c r="F22" s="15">
        <f t="shared" si="0"/>
        <v>119.9</v>
      </c>
      <c r="G22" s="16">
        <f t="shared" si="1"/>
        <v>5</v>
      </c>
      <c r="H22" s="17">
        <f t="shared" si="2"/>
        <v>114.9</v>
      </c>
    </row>
    <row r="23" spans="1:8">
      <c r="A23" s="12">
        <v>5691</v>
      </c>
      <c r="B23" s="13" t="s">
        <v>44</v>
      </c>
      <c r="C23" s="13" t="s">
        <v>19</v>
      </c>
      <c r="D23" s="14">
        <v>45965</v>
      </c>
      <c r="E23" s="13" t="s">
        <v>21</v>
      </c>
      <c r="F23" s="15">
        <f t="shared" si="0"/>
        <v>119.9</v>
      </c>
      <c r="G23" s="16">
        <f t="shared" si="1"/>
        <v>5</v>
      </c>
      <c r="H23" s="17">
        <f t="shared" si="2"/>
        <v>114.9</v>
      </c>
    </row>
    <row r="24" spans="1:8">
      <c r="A24" s="12">
        <v>5692</v>
      </c>
      <c r="B24" s="13" t="s">
        <v>45</v>
      </c>
      <c r="C24" s="13" t="s">
        <v>19</v>
      </c>
      <c r="D24" s="14">
        <v>45731</v>
      </c>
      <c r="E24" s="13" t="s">
        <v>20</v>
      </c>
      <c r="F24" s="15">
        <f t="shared" si="0"/>
        <v>119.9</v>
      </c>
      <c r="G24" s="16">
        <f t="shared" si="1"/>
        <v>20</v>
      </c>
      <c r="H24" s="17">
        <f t="shared" si="2"/>
        <v>99.9</v>
      </c>
    </row>
    <row r="25" spans="1:8">
      <c r="A25" s="12">
        <v>5693</v>
      </c>
      <c r="B25" s="13" t="s">
        <v>46</v>
      </c>
      <c r="C25" s="13" t="s">
        <v>19</v>
      </c>
      <c r="D25" s="14">
        <v>45852</v>
      </c>
      <c r="E25" s="13" t="s">
        <v>21</v>
      </c>
      <c r="F25" s="15">
        <f t="shared" si="0"/>
        <v>119.9</v>
      </c>
      <c r="G25" s="16">
        <f t="shared" si="1"/>
        <v>5</v>
      </c>
      <c r="H25" s="17">
        <f t="shared" si="2"/>
        <v>114.9</v>
      </c>
    </row>
    <row r="26" spans="1:8">
      <c r="A26" s="12">
        <v>5694</v>
      </c>
      <c r="B26" s="13" t="s">
        <v>47</v>
      </c>
      <c r="C26" s="13" t="s">
        <v>19</v>
      </c>
      <c r="D26" s="14">
        <v>45753</v>
      </c>
      <c r="E26" s="13" t="s">
        <v>20</v>
      </c>
      <c r="F26" s="15">
        <f t="shared" si="0"/>
        <v>119.9</v>
      </c>
      <c r="G26" s="16">
        <f t="shared" si="1"/>
        <v>20</v>
      </c>
      <c r="H26" s="17">
        <f t="shared" si="2"/>
        <v>99.9</v>
      </c>
    </row>
    <row r="27" spans="1:8">
      <c r="A27" s="12">
        <v>5695</v>
      </c>
      <c r="B27" s="13" t="s">
        <v>48</v>
      </c>
      <c r="C27" s="13" t="s">
        <v>22</v>
      </c>
      <c r="D27" s="14">
        <v>45804</v>
      </c>
      <c r="E27" s="13" t="s">
        <v>21</v>
      </c>
      <c r="F27" s="15">
        <f t="shared" si="0"/>
        <v>59.9</v>
      </c>
      <c r="G27" s="16">
        <f t="shared" si="1"/>
        <v>0</v>
      </c>
      <c r="H27" s="17">
        <f t="shared" si="2"/>
        <v>59.9</v>
      </c>
    </row>
    <row r="28" spans="1:8">
      <c r="A28" s="12">
        <v>5696</v>
      </c>
      <c r="B28" s="13" t="s">
        <v>49</v>
      </c>
      <c r="C28" s="13" t="s">
        <v>22</v>
      </c>
      <c r="D28" s="14">
        <v>46022</v>
      </c>
      <c r="E28" s="13" t="s">
        <v>20</v>
      </c>
      <c r="F28" s="15">
        <f t="shared" si="0"/>
        <v>59.9</v>
      </c>
      <c r="G28" s="16">
        <f t="shared" si="1"/>
        <v>10</v>
      </c>
      <c r="H28" s="17">
        <f t="shared" si="2"/>
        <v>49.9</v>
      </c>
    </row>
    <row r="29" spans="1:8">
      <c r="A29" s="12">
        <v>5697</v>
      </c>
      <c r="B29" s="13" t="s">
        <v>50</v>
      </c>
      <c r="C29" s="13" t="s">
        <v>19</v>
      </c>
      <c r="D29" s="14">
        <v>45674</v>
      </c>
      <c r="E29" s="13" t="s">
        <v>21</v>
      </c>
      <c r="F29" s="15">
        <f t="shared" si="0"/>
        <v>119.9</v>
      </c>
      <c r="G29" s="16">
        <f t="shared" si="1"/>
        <v>5</v>
      </c>
      <c r="H29" s="17">
        <f t="shared" si="2"/>
        <v>114.9</v>
      </c>
    </row>
    <row r="30" spans="1:8">
      <c r="A30" s="12">
        <v>5698</v>
      </c>
      <c r="B30" s="13" t="s">
        <v>51</v>
      </c>
      <c r="C30" s="13" t="s">
        <v>22</v>
      </c>
      <c r="D30" s="14">
        <v>45923</v>
      </c>
      <c r="E30" s="13" t="s">
        <v>20</v>
      </c>
      <c r="F30" s="15">
        <f t="shared" si="0"/>
        <v>59.9</v>
      </c>
      <c r="G30" s="16">
        <f t="shared" si="1"/>
        <v>10</v>
      </c>
      <c r="H30" s="17">
        <f t="shared" si="2"/>
        <v>49.9</v>
      </c>
    </row>
    <row r="31" spans="1:8">
      <c r="A31" s="12">
        <v>5699</v>
      </c>
      <c r="B31" s="13" t="s">
        <v>52</v>
      </c>
      <c r="C31" s="13" t="s">
        <v>22</v>
      </c>
      <c r="D31" s="14">
        <v>45813</v>
      </c>
      <c r="E31" s="13" t="s">
        <v>21</v>
      </c>
      <c r="F31" s="15">
        <f t="shared" si="0"/>
        <v>59.9</v>
      </c>
      <c r="G31" s="16">
        <f t="shared" si="1"/>
        <v>0</v>
      </c>
      <c r="H31" s="17">
        <f t="shared" si="2"/>
        <v>59.9</v>
      </c>
    </row>
    <row r="32" spans="1:8">
      <c r="A32" s="12">
        <v>5700</v>
      </c>
      <c r="B32" s="13" t="s">
        <v>53</v>
      </c>
      <c r="C32" s="13" t="s">
        <v>19</v>
      </c>
      <c r="D32" s="14">
        <v>45716</v>
      </c>
      <c r="E32" s="13" t="s">
        <v>20</v>
      </c>
      <c r="F32" s="15">
        <f t="shared" si="0"/>
        <v>119.9</v>
      </c>
      <c r="G32" s="16">
        <f t="shared" si="1"/>
        <v>20</v>
      </c>
      <c r="H32" s="17">
        <f t="shared" si="2"/>
        <v>99.9</v>
      </c>
    </row>
    <row r="33" spans="1:8">
      <c r="A33" s="12">
        <v>5701</v>
      </c>
      <c r="B33" s="13" t="s">
        <v>54</v>
      </c>
      <c r="C33" s="13" t="s">
        <v>22</v>
      </c>
      <c r="D33" s="14">
        <v>45973</v>
      </c>
      <c r="E33" s="13" t="s">
        <v>20</v>
      </c>
      <c r="F33" s="15">
        <f t="shared" si="0"/>
        <v>59.9</v>
      </c>
      <c r="G33" s="16">
        <f t="shared" si="1"/>
        <v>10</v>
      </c>
      <c r="H33" s="17">
        <f t="shared" si="2"/>
        <v>49.9</v>
      </c>
    </row>
    <row r="34" spans="1:8">
      <c r="A34" s="12">
        <v>5702</v>
      </c>
      <c r="B34" s="13" t="s">
        <v>55</v>
      </c>
      <c r="C34" s="13" t="s">
        <v>22</v>
      </c>
      <c r="D34" s="14">
        <v>45746</v>
      </c>
      <c r="E34" s="13" t="s">
        <v>20</v>
      </c>
      <c r="F34" s="15">
        <f t="shared" si="0"/>
        <v>59.9</v>
      </c>
      <c r="G34" s="16">
        <f t="shared" si="1"/>
        <v>10</v>
      </c>
      <c r="H34" s="17">
        <f t="shared" si="2"/>
        <v>49.9</v>
      </c>
    </row>
    <row r="35" spans="1:8">
      <c r="A35" s="12">
        <v>5703</v>
      </c>
      <c r="B35" s="13" t="s">
        <v>56</v>
      </c>
      <c r="C35" s="13" t="s">
        <v>22</v>
      </c>
      <c r="D35" s="14">
        <v>45840</v>
      </c>
      <c r="E35" s="13" t="s">
        <v>20</v>
      </c>
      <c r="F35" s="15">
        <f t="shared" si="0"/>
        <v>59.9</v>
      </c>
      <c r="G35" s="16">
        <f t="shared" si="1"/>
        <v>10</v>
      </c>
      <c r="H35" s="17">
        <f t="shared" si="2"/>
        <v>49.9</v>
      </c>
    </row>
    <row r="36" spans="1:8">
      <c r="A36" s="12">
        <v>5704</v>
      </c>
      <c r="B36" s="13" t="s">
        <v>57</v>
      </c>
      <c r="C36" s="13" t="s">
        <v>19</v>
      </c>
      <c r="D36" s="14">
        <v>45767</v>
      </c>
      <c r="E36" s="13" t="s">
        <v>21</v>
      </c>
      <c r="F36" s="15">
        <f t="shared" si="0"/>
        <v>119.9</v>
      </c>
      <c r="G36" s="16">
        <f t="shared" si="1"/>
        <v>5</v>
      </c>
      <c r="H36" s="17">
        <f t="shared" si="2"/>
        <v>114.9</v>
      </c>
    </row>
    <row r="37" spans="1:8">
      <c r="A37" s="12">
        <v>5705</v>
      </c>
      <c r="B37" s="13" t="s">
        <v>58</v>
      </c>
      <c r="C37" s="13" t="s">
        <v>19</v>
      </c>
      <c r="D37" s="14">
        <v>45786</v>
      </c>
      <c r="E37" s="13" t="s">
        <v>20</v>
      </c>
      <c r="F37" s="15">
        <f t="shared" si="0"/>
        <v>119.9</v>
      </c>
      <c r="G37" s="16">
        <f t="shared" si="1"/>
        <v>20</v>
      </c>
      <c r="H37" s="17">
        <f t="shared" si="2"/>
        <v>99.9</v>
      </c>
    </row>
    <row r="38" spans="1:8">
      <c r="A38" s="12">
        <v>5706</v>
      </c>
      <c r="B38" s="13" t="s">
        <v>59</v>
      </c>
      <c r="C38" s="13" t="s">
        <v>19</v>
      </c>
      <c r="D38" s="14">
        <v>46009</v>
      </c>
      <c r="E38" s="13" t="s">
        <v>20</v>
      </c>
      <c r="F38" s="15">
        <f t="shared" si="0"/>
        <v>119.9</v>
      </c>
      <c r="G38" s="16">
        <f t="shared" si="1"/>
        <v>20</v>
      </c>
      <c r="H38" s="17">
        <f t="shared" si="2"/>
        <v>99.9</v>
      </c>
    </row>
    <row r="39" spans="1:8">
      <c r="A39" s="12">
        <v>5707</v>
      </c>
      <c r="B39" s="13" t="s">
        <v>60</v>
      </c>
      <c r="C39" s="13" t="s">
        <v>22</v>
      </c>
      <c r="D39" s="14">
        <v>45683</v>
      </c>
      <c r="E39" s="13" t="s">
        <v>21</v>
      </c>
      <c r="F39" s="15">
        <f t="shared" si="0"/>
        <v>59.9</v>
      </c>
      <c r="G39" s="16">
        <f t="shared" si="1"/>
        <v>0</v>
      </c>
      <c r="H39" s="17">
        <f t="shared" si="2"/>
        <v>59.9</v>
      </c>
    </row>
    <row r="40" spans="1:8">
      <c r="A40" s="12">
        <v>5708</v>
      </c>
      <c r="B40" s="13" t="s">
        <v>61</v>
      </c>
      <c r="C40" s="13" t="s">
        <v>22</v>
      </c>
      <c r="D40" s="14">
        <v>45911</v>
      </c>
      <c r="E40" s="13" t="s">
        <v>20</v>
      </c>
      <c r="F40" s="15">
        <f t="shared" si="0"/>
        <v>59.9</v>
      </c>
      <c r="G40" s="16">
        <f t="shared" si="1"/>
        <v>10</v>
      </c>
      <c r="H40" s="17">
        <f t="shared" si="2"/>
        <v>49.9</v>
      </c>
    </row>
    <row r="41" spans="1:8">
      <c r="A41" s="12">
        <v>5709</v>
      </c>
      <c r="B41" s="13" t="s">
        <v>62</v>
      </c>
      <c r="C41" s="13" t="s">
        <v>22</v>
      </c>
      <c r="D41" s="14">
        <v>45835</v>
      </c>
      <c r="E41" s="13" t="s">
        <v>20</v>
      </c>
      <c r="F41" s="15">
        <f t="shared" si="0"/>
        <v>59.9</v>
      </c>
      <c r="G41" s="16">
        <f t="shared" si="1"/>
        <v>10</v>
      </c>
      <c r="H41" s="17">
        <f t="shared" si="2"/>
        <v>49.9</v>
      </c>
    </row>
    <row r="42" spans="1:8">
      <c r="A42" s="12">
        <v>5710</v>
      </c>
      <c r="B42" s="13" t="s">
        <v>63</v>
      </c>
      <c r="C42" s="13" t="s">
        <v>22</v>
      </c>
      <c r="D42" s="14">
        <v>45697</v>
      </c>
      <c r="E42" s="13" t="s">
        <v>20</v>
      </c>
      <c r="F42" s="15">
        <f t="shared" si="0"/>
        <v>59.9</v>
      </c>
      <c r="G42" s="16">
        <f t="shared" si="1"/>
        <v>10</v>
      </c>
      <c r="H42" s="17">
        <f t="shared" si="2"/>
        <v>49.9</v>
      </c>
    </row>
    <row r="43" spans="1:8">
      <c r="A43" s="12">
        <v>5711</v>
      </c>
      <c r="B43" s="13" t="s">
        <v>64</v>
      </c>
      <c r="C43" s="13" t="s">
        <v>19</v>
      </c>
      <c r="D43" s="14">
        <v>45990</v>
      </c>
      <c r="E43" s="13" t="s">
        <v>21</v>
      </c>
      <c r="F43" s="15">
        <f t="shared" si="0"/>
        <v>119.9</v>
      </c>
      <c r="G43" s="16">
        <f t="shared" si="1"/>
        <v>5</v>
      </c>
      <c r="H43" s="17">
        <f t="shared" si="2"/>
        <v>114.9</v>
      </c>
    </row>
    <row r="44" spans="1:8">
      <c r="A44" s="12">
        <v>5712</v>
      </c>
      <c r="B44" s="13" t="s">
        <v>65</v>
      </c>
      <c r="C44" s="13" t="s">
        <v>19</v>
      </c>
      <c r="D44" s="14">
        <v>45720</v>
      </c>
      <c r="E44" s="13" t="s">
        <v>21</v>
      </c>
      <c r="F44" s="15">
        <f t="shared" si="0"/>
        <v>119.9</v>
      </c>
      <c r="G44" s="16">
        <f t="shared" si="1"/>
        <v>5</v>
      </c>
      <c r="H44" s="17">
        <f t="shared" si="2"/>
        <v>114.9</v>
      </c>
    </row>
    <row r="45" spans="1:8">
      <c r="A45" s="12">
        <v>5713</v>
      </c>
      <c r="B45" s="13" t="s">
        <v>66</v>
      </c>
      <c r="C45" s="13" t="s">
        <v>22</v>
      </c>
      <c r="D45" s="14">
        <v>45859</v>
      </c>
      <c r="E45" s="13" t="s">
        <v>20</v>
      </c>
      <c r="F45" s="15">
        <f t="shared" si="0"/>
        <v>59.9</v>
      </c>
      <c r="G45" s="16">
        <f t="shared" si="1"/>
        <v>10</v>
      </c>
      <c r="H45" s="17">
        <f t="shared" si="2"/>
        <v>49.9</v>
      </c>
    </row>
    <row r="46" spans="1:8">
      <c r="A46" s="12">
        <v>5714</v>
      </c>
      <c r="B46" s="13" t="s">
        <v>67</v>
      </c>
      <c r="C46" s="13" t="s">
        <v>22</v>
      </c>
      <c r="D46" s="14">
        <v>45760</v>
      </c>
      <c r="E46" s="13" t="s">
        <v>21</v>
      </c>
      <c r="F46" s="15">
        <f t="shared" si="0"/>
        <v>59.9</v>
      </c>
      <c r="G46" s="16">
        <f t="shared" si="1"/>
        <v>0</v>
      </c>
      <c r="H46" s="17">
        <f t="shared" si="2"/>
        <v>59.9</v>
      </c>
    </row>
    <row r="47" spans="1:8">
      <c r="A47" s="12">
        <v>5715</v>
      </c>
      <c r="B47" s="13" t="s">
        <v>68</v>
      </c>
      <c r="C47" s="13" t="s">
        <v>22</v>
      </c>
      <c r="D47" s="14">
        <v>45793</v>
      </c>
      <c r="E47" s="13" t="s">
        <v>20</v>
      </c>
      <c r="F47" s="15">
        <f t="shared" si="0"/>
        <v>59.9</v>
      </c>
      <c r="G47" s="16">
        <f t="shared" si="1"/>
        <v>10</v>
      </c>
      <c r="H47" s="17">
        <f t="shared" si="2"/>
        <v>49.9</v>
      </c>
    </row>
    <row r="48" spans="1:8">
      <c r="A48" s="12">
        <v>5716</v>
      </c>
      <c r="B48" s="13" t="s">
        <v>69</v>
      </c>
      <c r="C48" s="13" t="s">
        <v>19</v>
      </c>
      <c r="D48" s="14">
        <v>45998</v>
      </c>
      <c r="E48" s="13" t="s">
        <v>21</v>
      </c>
      <c r="F48" s="15">
        <f t="shared" si="0"/>
        <v>119.9</v>
      </c>
      <c r="G48" s="16">
        <f t="shared" si="1"/>
        <v>5</v>
      </c>
      <c r="H48" s="17">
        <f t="shared" si="2"/>
        <v>114.9</v>
      </c>
    </row>
    <row r="49" spans="1:8">
      <c r="A49" s="12">
        <v>5717</v>
      </c>
      <c r="B49" s="13" t="s">
        <v>70</v>
      </c>
      <c r="C49" s="13" t="s">
        <v>19</v>
      </c>
      <c r="D49" s="14">
        <v>45658</v>
      </c>
      <c r="E49" s="13" t="s">
        <v>20</v>
      </c>
      <c r="F49" s="15">
        <f t="shared" si="0"/>
        <v>119.9</v>
      </c>
      <c r="G49" s="16">
        <f t="shared" si="1"/>
        <v>20</v>
      </c>
      <c r="H49" s="17">
        <f t="shared" si="2"/>
        <v>99.9</v>
      </c>
    </row>
    <row r="50" spans="1:8">
      <c r="A50" s="12">
        <v>5718</v>
      </c>
      <c r="B50" s="13" t="s">
        <v>71</v>
      </c>
      <c r="C50" s="13" t="s">
        <v>19</v>
      </c>
      <c r="D50" s="14">
        <v>45930</v>
      </c>
      <c r="E50" s="13" t="s">
        <v>21</v>
      </c>
      <c r="F50" s="15">
        <f t="shared" si="0"/>
        <v>119.9</v>
      </c>
      <c r="G50" s="16">
        <f t="shared" si="1"/>
        <v>5</v>
      </c>
      <c r="H50" s="17">
        <f t="shared" si="2"/>
        <v>114.9</v>
      </c>
    </row>
    <row r="51" spans="1:8">
      <c r="A51" s="12">
        <v>5719</v>
      </c>
      <c r="B51" s="13" t="s">
        <v>72</v>
      </c>
      <c r="C51" s="13" t="s">
        <v>19</v>
      </c>
      <c r="D51" s="14">
        <v>45822</v>
      </c>
      <c r="E51" s="13" t="s">
        <v>20</v>
      </c>
      <c r="F51" s="15">
        <f t="shared" si="0"/>
        <v>119.9</v>
      </c>
      <c r="G51" s="16">
        <f t="shared" si="1"/>
        <v>20</v>
      </c>
      <c r="H51" s="17">
        <f t="shared" si="2"/>
        <v>99.9</v>
      </c>
    </row>
    <row r="52" spans="1:8">
      <c r="A52" s="12">
        <v>5720</v>
      </c>
      <c r="B52" s="13" t="s">
        <v>73</v>
      </c>
      <c r="C52" s="13" t="s">
        <v>19</v>
      </c>
      <c r="D52" s="14">
        <v>45708</v>
      </c>
      <c r="E52" s="13" t="s">
        <v>21</v>
      </c>
      <c r="F52" s="15">
        <f t="shared" si="0"/>
        <v>119.9</v>
      </c>
      <c r="G52" s="16">
        <f t="shared" si="1"/>
        <v>5</v>
      </c>
      <c r="H52" s="17">
        <f t="shared" si="2"/>
        <v>114.9</v>
      </c>
    </row>
    <row r="53" spans="1:8">
      <c r="A53" s="12">
        <v>5721</v>
      </c>
      <c r="B53" s="13" t="s">
        <v>74</v>
      </c>
      <c r="C53" s="13" t="s">
        <v>19</v>
      </c>
      <c r="D53" s="14">
        <v>45969</v>
      </c>
      <c r="E53" s="13" t="s">
        <v>20</v>
      </c>
      <c r="F53" s="15">
        <f t="shared" si="0"/>
        <v>119.9</v>
      </c>
      <c r="G53" s="16">
        <f t="shared" si="1"/>
        <v>20</v>
      </c>
      <c r="H53" s="17">
        <f t="shared" si="2"/>
        <v>99.9</v>
      </c>
    </row>
    <row r="54" spans="1:8">
      <c r="A54" s="12">
        <v>5722</v>
      </c>
      <c r="B54" s="13" t="s">
        <v>75</v>
      </c>
      <c r="C54" s="13" t="s">
        <v>22</v>
      </c>
      <c r="D54" s="14">
        <v>45735</v>
      </c>
      <c r="E54" s="13" t="s">
        <v>20</v>
      </c>
      <c r="F54" s="15">
        <f t="shared" si="0"/>
        <v>59.9</v>
      </c>
      <c r="G54" s="16">
        <f t="shared" si="1"/>
        <v>10</v>
      </c>
      <c r="H54" s="17">
        <f t="shared" si="2"/>
        <v>49.9</v>
      </c>
    </row>
    <row r="55" spans="1:8">
      <c r="A55" s="12">
        <v>5723</v>
      </c>
      <c r="B55" s="13" t="s">
        <v>76</v>
      </c>
      <c r="C55" s="13" t="s">
        <v>22</v>
      </c>
      <c r="D55" s="14">
        <v>45843</v>
      </c>
      <c r="E55" s="13" t="s">
        <v>20</v>
      </c>
      <c r="F55" s="15">
        <f t="shared" si="0"/>
        <v>59.9</v>
      </c>
      <c r="G55" s="16">
        <f t="shared" si="1"/>
        <v>10</v>
      </c>
      <c r="H55" s="17">
        <f t="shared" si="2"/>
        <v>49.9</v>
      </c>
    </row>
    <row r="56" spans="1:8">
      <c r="A56" s="12">
        <v>5724</v>
      </c>
      <c r="B56" s="13" t="s">
        <v>77</v>
      </c>
      <c r="C56" s="13" t="s">
        <v>19</v>
      </c>
      <c r="D56" s="14">
        <v>45774</v>
      </c>
      <c r="E56" s="13" t="s">
        <v>20</v>
      </c>
      <c r="F56" s="15">
        <f t="shared" si="0"/>
        <v>119.9</v>
      </c>
      <c r="G56" s="16">
        <f t="shared" si="1"/>
        <v>20</v>
      </c>
      <c r="H56" s="17">
        <f t="shared" si="2"/>
        <v>99.9</v>
      </c>
    </row>
    <row r="57" spans="1:8">
      <c r="A57" s="12">
        <v>5725</v>
      </c>
      <c r="B57" s="13" t="s">
        <v>78</v>
      </c>
      <c r="C57" s="13" t="s">
        <v>22</v>
      </c>
      <c r="D57" s="14">
        <v>45800</v>
      </c>
      <c r="E57" s="13" t="s">
        <v>21</v>
      </c>
      <c r="F57" s="15">
        <f t="shared" si="0"/>
        <v>59.9</v>
      </c>
      <c r="G57" s="16">
        <f t="shared" si="1"/>
        <v>0</v>
      </c>
      <c r="H57" s="17">
        <f t="shared" si="2"/>
        <v>59.9</v>
      </c>
    </row>
    <row r="58" spans="1:8">
      <c r="A58" s="12">
        <v>5726</v>
      </c>
      <c r="B58" s="13" t="s">
        <v>79</v>
      </c>
      <c r="C58" s="13" t="s">
        <v>22</v>
      </c>
      <c r="D58" s="14">
        <v>46015</v>
      </c>
      <c r="E58" s="13" t="s">
        <v>20</v>
      </c>
      <c r="F58" s="15">
        <f t="shared" si="0"/>
        <v>59.9</v>
      </c>
      <c r="G58" s="16">
        <f t="shared" si="1"/>
        <v>10</v>
      </c>
      <c r="H58" s="17">
        <f t="shared" si="2"/>
        <v>49.9</v>
      </c>
    </row>
    <row r="59" spans="1:8">
      <c r="A59" s="12">
        <v>5727</v>
      </c>
      <c r="B59" s="13" t="s">
        <v>80</v>
      </c>
      <c r="C59" s="13" t="s">
        <v>19</v>
      </c>
      <c r="D59" s="14">
        <v>45669</v>
      </c>
      <c r="E59" s="13" t="s">
        <v>20</v>
      </c>
      <c r="F59" s="15">
        <f t="shared" si="0"/>
        <v>119.9</v>
      </c>
      <c r="G59" s="16">
        <f t="shared" si="1"/>
        <v>20</v>
      </c>
      <c r="H59" s="17">
        <f t="shared" si="2"/>
        <v>99.9</v>
      </c>
    </row>
    <row r="60" spans="1:8">
      <c r="A60" s="12">
        <v>5728</v>
      </c>
      <c r="B60" s="13" t="s">
        <v>81</v>
      </c>
      <c r="C60" s="13" t="s">
        <v>22</v>
      </c>
      <c r="D60" s="14">
        <v>45916</v>
      </c>
      <c r="E60" s="13" t="s">
        <v>21</v>
      </c>
      <c r="F60" s="15">
        <f t="shared" si="0"/>
        <v>59.9</v>
      </c>
      <c r="G60" s="16">
        <f t="shared" si="1"/>
        <v>0</v>
      </c>
      <c r="H60" s="17">
        <f t="shared" si="2"/>
        <v>59.9</v>
      </c>
    </row>
    <row r="61" spans="1:8">
      <c r="A61" s="12">
        <v>5729</v>
      </c>
      <c r="B61" s="13" t="s">
        <v>82</v>
      </c>
      <c r="C61" s="13" t="s">
        <v>22</v>
      </c>
      <c r="D61" s="14">
        <v>45811</v>
      </c>
      <c r="E61" s="13" t="s">
        <v>20</v>
      </c>
      <c r="F61" s="15">
        <f t="shared" si="0"/>
        <v>59.9</v>
      </c>
      <c r="G61" s="16">
        <f t="shared" si="1"/>
        <v>10</v>
      </c>
      <c r="H61" s="17">
        <f t="shared" si="2"/>
        <v>49.9</v>
      </c>
    </row>
    <row r="62" spans="1:8">
      <c r="A62" s="12">
        <v>5730</v>
      </c>
      <c r="B62" s="13" t="s">
        <v>83</v>
      </c>
      <c r="C62" s="13" t="s">
        <v>22</v>
      </c>
      <c r="D62" s="14">
        <v>45691</v>
      </c>
      <c r="E62" s="13" t="s">
        <v>20</v>
      </c>
      <c r="F62" s="15">
        <f t="shared" si="0"/>
        <v>59.9</v>
      </c>
      <c r="G62" s="16">
        <f t="shared" si="1"/>
        <v>10</v>
      </c>
      <c r="H62" s="17">
        <f t="shared" si="2"/>
        <v>49.9</v>
      </c>
    </row>
    <row r="63" spans="1:8">
      <c r="A63" s="12">
        <v>5731</v>
      </c>
      <c r="B63" s="13" t="s">
        <v>84</v>
      </c>
      <c r="C63" s="13" t="s">
        <v>19</v>
      </c>
      <c r="D63" s="14">
        <v>45978</v>
      </c>
      <c r="E63" s="13" t="s">
        <v>20</v>
      </c>
      <c r="F63" s="15">
        <f t="shared" si="0"/>
        <v>119.9</v>
      </c>
      <c r="G63" s="16">
        <f t="shared" si="1"/>
        <v>20</v>
      </c>
      <c r="H63" s="17">
        <f t="shared" si="2"/>
        <v>99.9</v>
      </c>
    </row>
    <row r="64" spans="1:8">
      <c r="A64" s="12">
        <v>5732</v>
      </c>
      <c r="B64" s="13" t="s">
        <v>85</v>
      </c>
      <c r="C64" s="13" t="s">
        <v>19</v>
      </c>
      <c r="D64" s="14">
        <v>45726</v>
      </c>
      <c r="E64" s="13" t="s">
        <v>21</v>
      </c>
      <c r="F64" s="15">
        <f t="shared" si="0"/>
        <v>119.9</v>
      </c>
      <c r="G64" s="16">
        <f t="shared" si="1"/>
        <v>5</v>
      </c>
      <c r="H64" s="17">
        <f t="shared" si="2"/>
        <v>114.9</v>
      </c>
    </row>
    <row r="65" spans="1:8">
      <c r="A65" s="12">
        <v>5733</v>
      </c>
      <c r="B65" s="13" t="s">
        <v>86</v>
      </c>
      <c r="C65" s="13" t="s">
        <v>19</v>
      </c>
      <c r="D65" s="14">
        <v>45867</v>
      </c>
      <c r="E65" s="13" t="s">
        <v>21</v>
      </c>
      <c r="F65" s="15">
        <f t="shared" si="0"/>
        <v>119.9</v>
      </c>
      <c r="G65" s="16">
        <f t="shared" si="1"/>
        <v>5</v>
      </c>
      <c r="H65" s="17">
        <f t="shared" si="2"/>
        <v>114.9</v>
      </c>
    </row>
    <row r="66" spans="1:8">
      <c r="A66" s="12">
        <v>5734</v>
      </c>
      <c r="B66" s="13" t="s">
        <v>87</v>
      </c>
      <c r="C66" s="13" t="s">
        <v>22</v>
      </c>
      <c r="D66" s="14">
        <v>45748</v>
      </c>
      <c r="E66" s="13" t="s">
        <v>21</v>
      </c>
      <c r="F66" s="15">
        <f t="shared" si="0"/>
        <v>59.9</v>
      </c>
      <c r="G66" s="16">
        <f t="shared" si="1"/>
        <v>0</v>
      </c>
      <c r="H66" s="17">
        <f t="shared" si="2"/>
        <v>59.9</v>
      </c>
    </row>
    <row r="67" spans="1:8">
      <c r="A67" s="12">
        <v>5735</v>
      </c>
      <c r="B67" s="13" t="s">
        <v>88</v>
      </c>
      <c r="C67" s="13" t="s">
        <v>22</v>
      </c>
      <c r="D67" s="14">
        <v>45808</v>
      </c>
      <c r="E67" s="13" t="s">
        <v>20</v>
      </c>
      <c r="F67" s="15">
        <f t="shared" ref="F67:F100" si="3">IF(C67="Ultimate", 119.9, IF(C67="Premium", 59.9))</f>
        <v>59.9</v>
      </c>
      <c r="G67" s="16">
        <f t="shared" ref="G67:G100" si="4">IF(AND(C67="Ultimate",E67="Sim"),20,IF(AND(C67="Ultimate",E67="Não"),5,IF(AND(C67="Premium",E67="Sim"),10,IF(AND(C67="Premium",E67="Não"),0))))</f>
        <v>10</v>
      </c>
      <c r="H67" s="17">
        <f t="shared" ref="H67:H100" si="5">SUM(F67-G67)</f>
        <v>49.9</v>
      </c>
    </row>
    <row r="68" spans="1:8">
      <c r="A68" s="12">
        <v>5736</v>
      </c>
      <c r="B68" s="13" t="s">
        <v>89</v>
      </c>
      <c r="C68" s="13" t="s">
        <v>22</v>
      </c>
      <c r="D68" s="14">
        <v>46006</v>
      </c>
      <c r="E68" s="13" t="s">
        <v>21</v>
      </c>
      <c r="F68" s="15">
        <f t="shared" si="3"/>
        <v>59.9</v>
      </c>
      <c r="G68" s="16">
        <f t="shared" si="4"/>
        <v>0</v>
      </c>
      <c r="H68" s="17">
        <f t="shared" si="5"/>
        <v>59.9</v>
      </c>
    </row>
    <row r="69" spans="1:8">
      <c r="A69" s="12">
        <v>5737</v>
      </c>
      <c r="B69" s="13" t="s">
        <v>90</v>
      </c>
      <c r="C69" s="13" t="s">
        <v>22</v>
      </c>
      <c r="D69" s="14">
        <v>45679</v>
      </c>
      <c r="E69" s="13" t="s">
        <v>20</v>
      </c>
      <c r="F69" s="15">
        <f t="shared" si="3"/>
        <v>59.9</v>
      </c>
      <c r="G69" s="16">
        <f t="shared" si="4"/>
        <v>10</v>
      </c>
      <c r="H69" s="17">
        <f t="shared" si="5"/>
        <v>49.9</v>
      </c>
    </row>
    <row r="70" spans="1:8">
      <c r="A70" s="12">
        <v>5738</v>
      </c>
      <c r="B70" s="13" t="s">
        <v>91</v>
      </c>
      <c r="C70" s="13" t="s">
        <v>19</v>
      </c>
      <c r="D70" s="14">
        <v>45906</v>
      </c>
      <c r="E70" s="13" t="s">
        <v>21</v>
      </c>
      <c r="F70" s="15">
        <f t="shared" si="3"/>
        <v>119.9</v>
      </c>
      <c r="G70" s="16">
        <f t="shared" si="4"/>
        <v>5</v>
      </c>
      <c r="H70" s="17">
        <f t="shared" si="5"/>
        <v>114.9</v>
      </c>
    </row>
    <row r="71" spans="1:8">
      <c r="A71" s="12">
        <v>5739</v>
      </c>
      <c r="B71" s="13" t="s">
        <v>92</v>
      </c>
      <c r="C71" s="13" t="s">
        <v>19</v>
      </c>
      <c r="D71" s="14">
        <v>45833</v>
      </c>
      <c r="E71" s="13" t="s">
        <v>20</v>
      </c>
      <c r="F71" s="15">
        <f t="shared" si="3"/>
        <v>119.9</v>
      </c>
      <c r="G71" s="16">
        <f t="shared" si="4"/>
        <v>20</v>
      </c>
      <c r="H71" s="17">
        <f t="shared" si="5"/>
        <v>99.9</v>
      </c>
    </row>
    <row r="72" spans="1:8">
      <c r="A72" s="12">
        <v>5740</v>
      </c>
      <c r="B72" s="13" t="s">
        <v>93</v>
      </c>
      <c r="C72" s="13" t="s">
        <v>22</v>
      </c>
      <c r="D72" s="14">
        <v>45713</v>
      </c>
      <c r="E72" s="13" t="s">
        <v>21</v>
      </c>
      <c r="F72" s="15">
        <f t="shared" si="3"/>
        <v>59.9</v>
      </c>
      <c r="G72" s="16">
        <f t="shared" si="4"/>
        <v>0</v>
      </c>
      <c r="H72" s="17">
        <f t="shared" si="5"/>
        <v>59.9</v>
      </c>
    </row>
    <row r="73" spans="1:8">
      <c r="A73" s="12">
        <v>5741</v>
      </c>
      <c r="B73" s="13" t="s">
        <v>94</v>
      </c>
      <c r="C73" s="13" t="s">
        <v>22</v>
      </c>
      <c r="D73" s="14">
        <v>45987</v>
      </c>
      <c r="E73" s="13" t="s">
        <v>20</v>
      </c>
      <c r="F73" s="15">
        <f t="shared" si="3"/>
        <v>59.9</v>
      </c>
      <c r="G73" s="16">
        <f t="shared" si="4"/>
        <v>10</v>
      </c>
      <c r="H73" s="17">
        <f t="shared" si="5"/>
        <v>49.9</v>
      </c>
    </row>
    <row r="74" spans="1:8">
      <c r="A74" s="12">
        <v>5742</v>
      </c>
      <c r="B74" s="13" t="s">
        <v>95</v>
      </c>
      <c r="C74" s="13" t="s">
        <v>22</v>
      </c>
      <c r="D74" s="14">
        <v>45744</v>
      </c>
      <c r="E74" s="13" t="s">
        <v>21</v>
      </c>
      <c r="F74" s="15">
        <f t="shared" si="3"/>
        <v>59.9</v>
      </c>
      <c r="G74" s="16">
        <f t="shared" si="4"/>
        <v>0</v>
      </c>
      <c r="H74" s="17">
        <f t="shared" si="5"/>
        <v>59.9</v>
      </c>
    </row>
    <row r="75" spans="1:8">
      <c r="A75" s="12">
        <v>5743</v>
      </c>
      <c r="B75" s="13" t="s">
        <v>96</v>
      </c>
      <c r="C75" s="13" t="s">
        <v>19</v>
      </c>
      <c r="D75" s="14">
        <v>45849</v>
      </c>
      <c r="E75" s="13" t="s">
        <v>20</v>
      </c>
      <c r="F75" s="15">
        <f t="shared" si="3"/>
        <v>119.9</v>
      </c>
      <c r="G75" s="16">
        <f t="shared" si="4"/>
        <v>20</v>
      </c>
      <c r="H75" s="17">
        <f t="shared" si="5"/>
        <v>99.9</v>
      </c>
    </row>
    <row r="76" spans="1:8">
      <c r="A76" s="12">
        <v>5744</v>
      </c>
      <c r="B76" s="13" t="s">
        <v>97</v>
      </c>
      <c r="C76" s="13" t="s">
        <v>19</v>
      </c>
      <c r="D76" s="14">
        <v>45756</v>
      </c>
      <c r="E76" s="13" t="s">
        <v>20</v>
      </c>
      <c r="F76" s="15">
        <f t="shared" si="3"/>
        <v>119.9</v>
      </c>
      <c r="G76" s="16">
        <f t="shared" si="4"/>
        <v>20</v>
      </c>
      <c r="H76" s="17">
        <f t="shared" si="5"/>
        <v>99.9</v>
      </c>
    </row>
    <row r="77" spans="1:8">
      <c r="A77" s="12">
        <v>5745</v>
      </c>
      <c r="B77" s="13" t="s">
        <v>98</v>
      </c>
      <c r="C77" s="13" t="s">
        <v>19</v>
      </c>
      <c r="D77" s="14">
        <v>45784</v>
      </c>
      <c r="E77" s="13" t="s">
        <v>20</v>
      </c>
      <c r="F77" s="15">
        <f t="shared" si="3"/>
        <v>119.9</v>
      </c>
      <c r="G77" s="16">
        <f t="shared" si="4"/>
        <v>20</v>
      </c>
      <c r="H77" s="17">
        <f t="shared" si="5"/>
        <v>99.9</v>
      </c>
    </row>
    <row r="78" spans="1:8">
      <c r="A78" s="12">
        <v>5746</v>
      </c>
      <c r="B78" s="13" t="s">
        <v>99</v>
      </c>
      <c r="C78" s="13" t="s">
        <v>19</v>
      </c>
      <c r="D78" s="14">
        <v>45994</v>
      </c>
      <c r="E78" s="13" t="s">
        <v>20</v>
      </c>
      <c r="F78" s="15">
        <f t="shared" si="3"/>
        <v>119.9</v>
      </c>
      <c r="G78" s="16">
        <f t="shared" si="4"/>
        <v>20</v>
      </c>
      <c r="H78" s="17">
        <f t="shared" si="5"/>
        <v>99.9</v>
      </c>
    </row>
    <row r="79" spans="1:8">
      <c r="A79" s="12">
        <v>5747</v>
      </c>
      <c r="B79" s="13" t="s">
        <v>100</v>
      </c>
      <c r="C79" s="13" t="s">
        <v>19</v>
      </c>
      <c r="D79" s="14">
        <v>45665</v>
      </c>
      <c r="E79" s="13" t="s">
        <v>21</v>
      </c>
      <c r="F79" s="15">
        <f t="shared" si="3"/>
        <v>119.9</v>
      </c>
      <c r="G79" s="16">
        <f t="shared" si="4"/>
        <v>5</v>
      </c>
      <c r="H79" s="17">
        <f t="shared" si="5"/>
        <v>114.9</v>
      </c>
    </row>
    <row r="80" spans="1:8">
      <c r="A80" s="12">
        <v>5748</v>
      </c>
      <c r="B80" s="13" t="s">
        <v>101</v>
      </c>
      <c r="C80" s="13" t="s">
        <v>19</v>
      </c>
      <c r="D80" s="14">
        <v>45927</v>
      </c>
      <c r="E80" s="13" t="s">
        <v>20</v>
      </c>
      <c r="F80" s="15">
        <f t="shared" si="3"/>
        <v>119.9</v>
      </c>
      <c r="G80" s="16">
        <f t="shared" si="4"/>
        <v>20</v>
      </c>
      <c r="H80" s="17">
        <f t="shared" si="5"/>
        <v>99.9</v>
      </c>
    </row>
    <row r="81" spans="1:8">
      <c r="A81" s="12">
        <v>5749</v>
      </c>
      <c r="B81" s="13" t="s">
        <v>102</v>
      </c>
      <c r="C81" s="13" t="s">
        <v>22</v>
      </c>
      <c r="D81" s="14">
        <v>45818</v>
      </c>
      <c r="E81" s="13" t="s">
        <v>20</v>
      </c>
      <c r="F81" s="15">
        <f t="shared" si="3"/>
        <v>59.9</v>
      </c>
      <c r="G81" s="16">
        <f t="shared" si="4"/>
        <v>10</v>
      </c>
      <c r="H81" s="17">
        <f t="shared" si="5"/>
        <v>49.9</v>
      </c>
    </row>
    <row r="82" spans="1:8">
      <c r="A82" s="12">
        <v>5750</v>
      </c>
      <c r="B82" s="13" t="s">
        <v>103</v>
      </c>
      <c r="C82" s="13" t="s">
        <v>22</v>
      </c>
      <c r="D82" s="14">
        <v>45695</v>
      </c>
      <c r="E82" s="13" t="s">
        <v>21</v>
      </c>
      <c r="F82" s="15">
        <f t="shared" si="3"/>
        <v>59.9</v>
      </c>
      <c r="G82" s="16">
        <f t="shared" si="4"/>
        <v>0</v>
      </c>
      <c r="H82" s="17">
        <f t="shared" si="5"/>
        <v>59.9</v>
      </c>
    </row>
    <row r="83" spans="1:8">
      <c r="A83" s="12">
        <v>5751</v>
      </c>
      <c r="B83" s="13" t="s">
        <v>104</v>
      </c>
      <c r="C83" s="13" t="s">
        <v>19</v>
      </c>
      <c r="D83" s="14">
        <v>45963</v>
      </c>
      <c r="E83" s="13" t="s">
        <v>20</v>
      </c>
      <c r="F83" s="15">
        <f t="shared" si="3"/>
        <v>119.9</v>
      </c>
      <c r="G83" s="16">
        <f t="shared" si="4"/>
        <v>20</v>
      </c>
      <c r="H83" s="17">
        <f t="shared" si="5"/>
        <v>99.9</v>
      </c>
    </row>
    <row r="84" spans="1:8">
      <c r="A84" s="12">
        <v>5752</v>
      </c>
      <c r="B84" s="13" t="s">
        <v>105</v>
      </c>
      <c r="C84" s="13" t="s">
        <v>22</v>
      </c>
      <c r="D84" s="14">
        <v>45729</v>
      </c>
      <c r="E84" s="13" t="s">
        <v>20</v>
      </c>
      <c r="F84" s="15">
        <f t="shared" si="3"/>
        <v>59.9</v>
      </c>
      <c r="G84" s="16">
        <f t="shared" si="4"/>
        <v>10</v>
      </c>
      <c r="H84" s="17">
        <f t="shared" si="5"/>
        <v>49.9</v>
      </c>
    </row>
    <row r="85" spans="1:8">
      <c r="A85" s="12">
        <v>5753</v>
      </c>
      <c r="B85" s="13" t="s">
        <v>106</v>
      </c>
      <c r="C85" s="13" t="s">
        <v>22</v>
      </c>
      <c r="D85" s="14">
        <v>45856</v>
      </c>
      <c r="E85" s="13" t="s">
        <v>20</v>
      </c>
      <c r="F85" s="15">
        <f t="shared" si="3"/>
        <v>59.9</v>
      </c>
      <c r="G85" s="16">
        <f t="shared" si="4"/>
        <v>10</v>
      </c>
      <c r="H85" s="17">
        <f t="shared" si="5"/>
        <v>49.9</v>
      </c>
    </row>
    <row r="86" spans="1:8">
      <c r="A86" s="12">
        <v>5754</v>
      </c>
      <c r="B86" s="13" t="s">
        <v>107</v>
      </c>
      <c r="C86" s="13" t="s">
        <v>19</v>
      </c>
      <c r="D86" s="14">
        <v>45771</v>
      </c>
      <c r="E86" s="13" t="s">
        <v>21</v>
      </c>
      <c r="F86" s="15">
        <f t="shared" si="3"/>
        <v>119.9</v>
      </c>
      <c r="G86" s="16">
        <f t="shared" si="4"/>
        <v>5</v>
      </c>
      <c r="H86" s="17">
        <f t="shared" si="5"/>
        <v>114.9</v>
      </c>
    </row>
    <row r="87" spans="1:8">
      <c r="A87" s="12">
        <v>5755</v>
      </c>
      <c r="B87" s="13" t="s">
        <v>108</v>
      </c>
      <c r="C87" s="13" t="s">
        <v>22</v>
      </c>
      <c r="D87" s="14">
        <v>45805</v>
      </c>
      <c r="E87" s="13" t="s">
        <v>21</v>
      </c>
      <c r="F87" s="15">
        <f t="shared" si="3"/>
        <v>59.9</v>
      </c>
      <c r="G87" s="16">
        <f t="shared" si="4"/>
        <v>0</v>
      </c>
      <c r="H87" s="17">
        <f t="shared" si="5"/>
        <v>59.9</v>
      </c>
    </row>
    <row r="88" spans="1:8">
      <c r="A88" s="12">
        <v>5756</v>
      </c>
      <c r="B88" s="13" t="s">
        <v>109</v>
      </c>
      <c r="C88" s="13" t="s">
        <v>22</v>
      </c>
      <c r="D88" s="14">
        <v>46011</v>
      </c>
      <c r="E88" s="13" t="s">
        <v>21</v>
      </c>
      <c r="F88" s="15">
        <f t="shared" si="3"/>
        <v>59.9</v>
      </c>
      <c r="G88" s="16">
        <f t="shared" si="4"/>
        <v>0</v>
      </c>
      <c r="H88" s="17">
        <f t="shared" si="5"/>
        <v>59.9</v>
      </c>
    </row>
    <row r="89" spans="1:8">
      <c r="A89" s="12">
        <v>5757</v>
      </c>
      <c r="B89" s="13" t="s">
        <v>110</v>
      </c>
      <c r="C89" s="13" t="s">
        <v>22</v>
      </c>
      <c r="D89" s="14">
        <v>45686</v>
      </c>
      <c r="E89" s="13" t="s">
        <v>20</v>
      </c>
      <c r="F89" s="15">
        <f t="shared" si="3"/>
        <v>59.9</v>
      </c>
      <c r="G89" s="16">
        <f t="shared" si="4"/>
        <v>10</v>
      </c>
      <c r="H89" s="17">
        <f t="shared" si="5"/>
        <v>49.9</v>
      </c>
    </row>
    <row r="90" spans="1:8">
      <c r="A90" s="12">
        <v>5758</v>
      </c>
      <c r="B90" s="13" t="s">
        <v>111</v>
      </c>
      <c r="C90" s="13" t="s">
        <v>19</v>
      </c>
      <c r="D90" s="14">
        <v>45919</v>
      </c>
      <c r="E90" s="13" t="s">
        <v>21</v>
      </c>
      <c r="F90" s="15">
        <f t="shared" si="3"/>
        <v>119.9</v>
      </c>
      <c r="G90" s="16">
        <f t="shared" si="4"/>
        <v>5</v>
      </c>
      <c r="H90" s="17">
        <f t="shared" si="5"/>
        <v>114.9</v>
      </c>
    </row>
    <row r="91" spans="1:8">
      <c r="A91" s="12">
        <v>5759</v>
      </c>
      <c r="B91" s="13" t="s">
        <v>112</v>
      </c>
      <c r="C91" s="13" t="s">
        <v>19</v>
      </c>
      <c r="D91" s="14">
        <v>45809</v>
      </c>
      <c r="E91" s="13" t="s">
        <v>20</v>
      </c>
      <c r="F91" s="15">
        <f t="shared" si="3"/>
        <v>119.9</v>
      </c>
      <c r="G91" s="16">
        <f t="shared" si="4"/>
        <v>20</v>
      </c>
      <c r="H91" s="17">
        <f t="shared" si="5"/>
        <v>99.9</v>
      </c>
    </row>
    <row r="92" spans="1:8">
      <c r="A92" s="12">
        <v>5760</v>
      </c>
      <c r="B92" s="13" t="s">
        <v>113</v>
      </c>
      <c r="C92" s="13" t="s">
        <v>19</v>
      </c>
      <c r="D92" s="14">
        <v>45702</v>
      </c>
      <c r="E92" s="13" t="s">
        <v>21</v>
      </c>
      <c r="F92" s="15">
        <f t="shared" si="3"/>
        <v>119.9</v>
      </c>
      <c r="G92" s="16">
        <f t="shared" si="4"/>
        <v>5</v>
      </c>
      <c r="H92" s="17">
        <f t="shared" si="5"/>
        <v>114.9</v>
      </c>
    </row>
    <row r="93" spans="1:8">
      <c r="A93" s="12">
        <v>5761</v>
      </c>
      <c r="B93" s="13" t="s">
        <v>114</v>
      </c>
      <c r="C93" s="13" t="s">
        <v>22</v>
      </c>
      <c r="D93" s="14">
        <v>45982</v>
      </c>
      <c r="E93" s="13" t="s">
        <v>20</v>
      </c>
      <c r="F93" s="15">
        <f t="shared" si="3"/>
        <v>59.9</v>
      </c>
      <c r="G93" s="16">
        <f t="shared" si="4"/>
        <v>10</v>
      </c>
      <c r="H93" s="17">
        <f t="shared" si="5"/>
        <v>49.9</v>
      </c>
    </row>
    <row r="94" spans="1:8">
      <c r="A94" s="12">
        <v>5762</v>
      </c>
      <c r="B94" s="13" t="s">
        <v>115</v>
      </c>
      <c r="C94" s="13" t="s">
        <v>22</v>
      </c>
      <c r="D94" s="14">
        <v>45742</v>
      </c>
      <c r="E94" s="13" t="s">
        <v>21</v>
      </c>
      <c r="F94" s="15">
        <f t="shared" si="3"/>
        <v>59.9</v>
      </c>
      <c r="G94" s="16">
        <f t="shared" si="4"/>
        <v>0</v>
      </c>
      <c r="H94" s="17">
        <f t="shared" si="5"/>
        <v>59.9</v>
      </c>
    </row>
    <row r="95" spans="1:8">
      <c r="A95" s="12">
        <v>5763</v>
      </c>
      <c r="B95" s="13" t="s">
        <v>116</v>
      </c>
      <c r="C95" s="13" t="s">
        <v>22</v>
      </c>
      <c r="D95" s="14">
        <v>45846</v>
      </c>
      <c r="E95" s="13" t="s">
        <v>20</v>
      </c>
      <c r="F95" s="15">
        <f t="shared" si="3"/>
        <v>59.9</v>
      </c>
      <c r="G95" s="16">
        <f t="shared" si="4"/>
        <v>10</v>
      </c>
      <c r="H95" s="17">
        <f t="shared" si="5"/>
        <v>49.9</v>
      </c>
    </row>
    <row r="96" spans="1:8">
      <c r="A96" s="12">
        <v>5764</v>
      </c>
      <c r="B96" s="13" t="s">
        <v>117</v>
      </c>
      <c r="C96" s="13" t="s">
        <v>22</v>
      </c>
      <c r="D96" s="14">
        <v>45764</v>
      </c>
      <c r="E96" s="13" t="s">
        <v>21</v>
      </c>
      <c r="F96" s="15">
        <f t="shared" si="3"/>
        <v>59.9</v>
      </c>
      <c r="G96" s="16">
        <f t="shared" si="4"/>
        <v>0</v>
      </c>
      <c r="H96" s="17">
        <f t="shared" si="5"/>
        <v>59.9</v>
      </c>
    </row>
    <row r="97" spans="1:8">
      <c r="A97" s="12">
        <v>5765</v>
      </c>
      <c r="B97" s="13" t="s">
        <v>118</v>
      </c>
      <c r="C97" s="13" t="s">
        <v>19</v>
      </c>
      <c r="D97" s="14">
        <v>45789</v>
      </c>
      <c r="E97" s="13" t="s">
        <v>20</v>
      </c>
      <c r="F97" s="15">
        <f t="shared" si="3"/>
        <v>119.9</v>
      </c>
      <c r="G97" s="16">
        <f t="shared" si="4"/>
        <v>20</v>
      </c>
      <c r="H97" s="17">
        <f t="shared" si="5"/>
        <v>99.9</v>
      </c>
    </row>
    <row r="98" spans="1:8">
      <c r="A98" s="12">
        <v>5766</v>
      </c>
      <c r="B98" s="13" t="s">
        <v>119</v>
      </c>
      <c r="C98" s="13" t="s">
        <v>19</v>
      </c>
      <c r="D98" s="14">
        <v>46001</v>
      </c>
      <c r="E98" s="13" t="s">
        <v>20</v>
      </c>
      <c r="F98" s="15">
        <f t="shared" si="3"/>
        <v>119.9</v>
      </c>
      <c r="G98" s="16">
        <f t="shared" si="4"/>
        <v>20</v>
      </c>
      <c r="H98" s="17">
        <f t="shared" si="5"/>
        <v>99.9</v>
      </c>
    </row>
    <row r="99" spans="1:8">
      <c r="A99" s="12">
        <v>5767</v>
      </c>
      <c r="B99" s="13" t="s">
        <v>120</v>
      </c>
      <c r="C99" s="13" t="s">
        <v>22</v>
      </c>
      <c r="D99" s="14">
        <v>45662</v>
      </c>
      <c r="E99" s="13" t="s">
        <v>20</v>
      </c>
      <c r="F99" s="15">
        <f t="shared" si="3"/>
        <v>59.9</v>
      </c>
      <c r="G99" s="16">
        <f t="shared" si="4"/>
        <v>10</v>
      </c>
      <c r="H99" s="17">
        <f t="shared" si="5"/>
        <v>49.9</v>
      </c>
    </row>
    <row r="100" spans="1:8">
      <c r="A100" s="18">
        <v>5768</v>
      </c>
      <c r="B100" s="19" t="s">
        <v>121</v>
      </c>
      <c r="C100" s="19" t="s">
        <v>22</v>
      </c>
      <c r="D100" s="20">
        <v>45922</v>
      </c>
      <c r="E100" s="19" t="s">
        <v>20</v>
      </c>
      <c r="F100" s="21">
        <f t="shared" si="3"/>
        <v>59.9</v>
      </c>
      <c r="G100" s="22">
        <f t="shared" si="4"/>
        <v>10</v>
      </c>
      <c r="H100" s="23">
        <f t="shared" si="5"/>
        <v>49.9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5D47-5A89-4D3B-A24A-262FC1AA198D}">
  <dimension ref="A1:CY109"/>
  <sheetViews>
    <sheetView zoomScale="115" zoomScaleNormal="115" workbookViewId="0">
      <selection activeCell="Z16" sqref="Z16"/>
    </sheetView>
  </sheetViews>
  <sheetFormatPr defaultRowHeight="15.75"/>
  <cols>
    <col min="1" max="1" width="37" style="35" bestFit="1" customWidth="1"/>
    <col min="2" max="2" width="18.28515625" style="34" bestFit="1" customWidth="1"/>
    <col min="3" max="3" width="5.5703125" style="33" customWidth="1"/>
    <col min="4" max="4" width="18" style="34" bestFit="1" customWidth="1"/>
    <col min="5" max="5" width="18.7109375" style="33" bestFit="1" customWidth="1"/>
    <col min="6" max="6" width="18" style="35" customWidth="1"/>
    <col min="7" max="7" width="11.85546875" style="1" bestFit="1" customWidth="1"/>
    <col min="8" max="8" width="18" style="1" bestFit="1" customWidth="1"/>
    <col min="9" max="9" width="18.7109375" style="1" bestFit="1" customWidth="1"/>
    <col min="10" max="10" width="11.85546875" style="1" bestFit="1" customWidth="1"/>
    <col min="11" max="11" width="26.140625" style="1" bestFit="1" customWidth="1"/>
    <col min="12" max="12" width="26" style="1" bestFit="1" customWidth="1"/>
    <col min="13" max="13" width="12.7109375" style="1" bestFit="1" customWidth="1"/>
    <col min="14" max="102" width="11.85546875" style="1" bestFit="1" customWidth="1"/>
    <col min="103" max="103" width="10.7109375" style="1" bestFit="1" customWidth="1"/>
    <col min="104" max="16384" width="9.140625" style="1"/>
  </cols>
  <sheetData>
    <row r="1" spans="1:103">
      <c r="A1" s="24" t="s">
        <v>11</v>
      </c>
      <c r="B1" s="25" t="s">
        <v>122</v>
      </c>
      <c r="D1" s="26" t="s">
        <v>131</v>
      </c>
      <c r="E1" s="41" t="s">
        <v>132</v>
      </c>
      <c r="F1" s="27" t="s">
        <v>123</v>
      </c>
    </row>
    <row r="2" spans="1:103">
      <c r="A2" s="28">
        <v>5670</v>
      </c>
      <c r="B2" s="29">
        <f>IF(Bases!D2&gt;DATE(2025,12,31),0,
((YEAR(DATE(2025,12,31))-YEAR(Bases!D2))*12 + (MONTH(DATE(2025,12,31))-MONTH(Bases!D2)) + 1) * Bases!H2)</f>
        <v>1098.9000000000001</v>
      </c>
      <c r="D2" s="40">
        <f>SUMIF(Bases!E:E,"Sim",Cálculos!B:B)</f>
        <v>28210.199999999997</v>
      </c>
      <c r="E2" s="30">
        <f>SUMIF(Bases!E:E,"Não",Cálculos!B:B)</f>
        <v>26190.600000000002</v>
      </c>
      <c r="F2" s="30">
        <f>SUM(B:B)</f>
        <v>54400.800000000025</v>
      </c>
    </row>
    <row r="3" spans="1:103">
      <c r="A3" s="28">
        <v>5671</v>
      </c>
      <c r="B3" s="29">
        <f>IF(Bases!D3&gt;DATE(2025,12,31),0,
((YEAR(DATE(2025,12,31))-YEAR(Bases!D3))*12 + (MONTH(DATE(2025,12,31))-MONTH(Bases!D3)) + 1) * Bases!H3)</f>
        <v>119.8</v>
      </c>
    </row>
    <row r="4" spans="1:103">
      <c r="A4" s="28">
        <v>5672</v>
      </c>
      <c r="B4" s="29">
        <f>IF(Bases!D4&gt;DATE(2025,12,31),0,
((YEAR(DATE(2025,12,31))-YEAR(Bases!D4))*12 + (MONTH(DATE(2025,12,31))-MONTH(Bases!D4)) + 1) * Bases!H4)</f>
        <v>499</v>
      </c>
      <c r="D4" s="41"/>
    </row>
    <row r="5" spans="1:103">
      <c r="A5" s="28">
        <v>5673</v>
      </c>
      <c r="B5" s="29">
        <f>IF(Bases!D5&gt;DATE(2025,12,31),0,
((YEAR(DATE(2025,12,31))-YEAR(Bases!D5))*12 + (MONTH(DATE(2025,12,31))-MONTH(Bases!D5)) + 1) * Bases!H5)</f>
        <v>689.40000000000009</v>
      </c>
      <c r="D5" s="30"/>
    </row>
    <row r="6" spans="1:103">
      <c r="A6" s="28">
        <v>5674</v>
      </c>
      <c r="B6" s="29">
        <f>IF(Bases!D6&gt;DATE(2025,12,31),0,
((YEAR(DATE(2025,12,31))-YEAR(Bases!D6))*12 + (MONTH(DATE(2025,12,31))-MONTH(Bases!D6)) + 1) * Bases!H6)</f>
        <v>449.09999999999997</v>
      </c>
      <c r="H6" s="36"/>
    </row>
    <row r="7" spans="1:103">
      <c r="A7" s="28">
        <v>5675</v>
      </c>
      <c r="B7" s="29">
        <f>IF(Bases!D7&gt;DATE(2025,12,31),0,
((YEAR(DATE(2025,12,31))-YEAR(Bases!D7))*12 + (MONTH(DATE(2025,12,31))-MONTH(Bases!D7)) + 1) * Bases!H7)</f>
        <v>479.2</v>
      </c>
      <c r="D7" s="42" t="s">
        <v>124</v>
      </c>
      <c r="E7" t="s">
        <v>126</v>
      </c>
      <c r="F7"/>
      <c r="G7"/>
      <c r="H7" s="42" t="s">
        <v>124</v>
      </c>
      <c r="I7" t="s">
        <v>126</v>
      </c>
      <c r="J7"/>
      <c r="K7" s="42" t="s">
        <v>124</v>
      </c>
      <c r="L7" t="s">
        <v>126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</row>
    <row r="8" spans="1:103">
      <c r="A8" s="28">
        <v>5676</v>
      </c>
      <c r="B8" s="29">
        <f>IF(Bases!D8&gt;DATE(2025,12,31),0,
((YEAR(DATE(2025,12,31))-YEAR(Bases!D8))*12 + (MONTH(DATE(2025,12,31))-MONTH(Bases!D8)) + 1) * Bases!H8)</f>
        <v>49.9</v>
      </c>
      <c r="D8" s="43" t="s">
        <v>21</v>
      </c>
      <c r="E8" s="7">
        <v>3491.1000000000022</v>
      </c>
      <c r="F8"/>
      <c r="G8"/>
      <c r="H8" s="43" t="s">
        <v>19</v>
      </c>
      <c r="I8" s="7">
        <v>4910.3999999999996</v>
      </c>
      <c r="J8" s="7">
        <v>4910.3999999999996</v>
      </c>
      <c r="K8" s="43" t="s">
        <v>22</v>
      </c>
      <c r="L8" s="7">
        <v>2824.7000000000025</v>
      </c>
      <c r="M8" s="7">
        <v>2824.7000000000025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</row>
    <row r="9" spans="1:103">
      <c r="A9" s="28">
        <v>5677</v>
      </c>
      <c r="B9" s="29">
        <f>IF(Bases!D9&gt;DATE(2025,12,31),0,
((YEAR(DATE(2025,12,31))-YEAR(Bases!D9))*12 + (MONTH(DATE(2025,12,31))-MONTH(Bases!D9)) + 1) * Bases!H9)</f>
        <v>1378.8000000000002</v>
      </c>
      <c r="D9" s="43" t="s">
        <v>20</v>
      </c>
      <c r="E9" s="7">
        <v>4244.0000000000027</v>
      </c>
      <c r="F9"/>
      <c r="G9"/>
      <c r="H9" s="43" t="s">
        <v>125</v>
      </c>
      <c r="I9" s="7">
        <v>4910.3999999999996</v>
      </c>
      <c r="J9"/>
      <c r="K9" s="43" t="s">
        <v>125</v>
      </c>
      <c r="L9" s="7">
        <v>2824.7000000000025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</row>
    <row r="10" spans="1:103">
      <c r="A10" s="28">
        <v>5678</v>
      </c>
      <c r="B10" s="29">
        <f>IF(Bases!D10&gt;DATE(2025,12,31),0,
((YEAR(DATE(2025,12,31))-YEAR(Bases!D10))*12 + (MONTH(DATE(2025,12,31))-MONTH(Bases!D10)) + 1) * Bases!H10)</f>
        <v>399.6</v>
      </c>
      <c r="D10" s="43" t="s">
        <v>125</v>
      </c>
      <c r="E10" s="7">
        <v>7735.1000000000049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</row>
    <row r="11" spans="1:103">
      <c r="A11" s="28">
        <v>5679</v>
      </c>
      <c r="B11" s="29">
        <f>IF(Bases!D11&gt;DATE(2025,12,31),0,
((YEAR(DATE(2025,12,31))-YEAR(Bases!D11))*12 + (MONTH(DATE(2025,12,31))-MONTH(Bases!D11)) + 1) * Bases!H11)</f>
        <v>699.30000000000007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</row>
    <row r="12" spans="1:103">
      <c r="A12" s="28">
        <v>5680</v>
      </c>
      <c r="B12" s="29">
        <f>IF(Bases!D12&gt;DATE(2025,12,31),0,
((YEAR(DATE(2025,12,31))-YEAR(Bases!D12))*12 + (MONTH(DATE(2025,12,31))-MONTH(Bases!D12)) + 1) * Bases!H12)</f>
        <v>548.9</v>
      </c>
      <c r="D12"/>
      <c r="E12"/>
      <c r="F12"/>
      <c r="H12"/>
      <c r="I12"/>
      <c r="J12"/>
      <c r="K12"/>
      <c r="L12"/>
      <c r="M12"/>
    </row>
    <row r="13" spans="1:103">
      <c r="A13" s="28">
        <v>5681</v>
      </c>
      <c r="B13" s="29">
        <f>IF(Bases!D13&gt;DATE(2025,12,31),0,
((YEAR(DATE(2025,12,31))-YEAR(Bases!D13))*12 + (MONTH(DATE(2025,12,31))-MONTH(Bases!D13)) + 1) * Bases!H13)</f>
        <v>99.8</v>
      </c>
      <c r="D13"/>
      <c r="E13"/>
      <c r="F13"/>
      <c r="H13"/>
      <c r="I13"/>
      <c r="J13"/>
      <c r="K13" t="s">
        <v>134</v>
      </c>
      <c r="L13" t="s">
        <v>135</v>
      </c>
      <c r="M13" t="s">
        <v>133</v>
      </c>
    </row>
    <row r="14" spans="1:103">
      <c r="A14" s="28">
        <v>5682</v>
      </c>
      <c r="B14" s="29">
        <f>IF(Bases!D14&gt;DATE(2025,12,31),0,
((YEAR(DATE(2025,12,31))-YEAR(Bases!D14))*12 + (MONTH(DATE(2025,12,31))-MONTH(Bases!D14)) + 1) * Bases!H14)</f>
        <v>599</v>
      </c>
      <c r="D14"/>
      <c r="E14"/>
      <c r="F14"/>
      <c r="H14"/>
      <c r="I14"/>
      <c r="J14"/>
      <c r="K14" s="7">
        <v>28210.199999999997</v>
      </c>
      <c r="L14" s="7">
        <v>26190.600000000002</v>
      </c>
      <c r="M14" s="7">
        <v>54400.800000000025</v>
      </c>
    </row>
    <row r="15" spans="1:103">
      <c r="A15" s="28">
        <v>5683</v>
      </c>
      <c r="B15" s="29">
        <f>IF(Bases!D15&gt;DATE(2025,12,31),0,
((YEAR(DATE(2025,12,31))-YEAR(Bases!D15))*12 + (MONTH(DATE(2025,12,31))-MONTH(Bases!D15)) + 1) * Bases!H15)</f>
        <v>299.39999999999998</v>
      </c>
      <c r="D15"/>
      <c r="E15"/>
      <c r="F15"/>
      <c r="H15"/>
      <c r="I15"/>
      <c r="J15"/>
      <c r="K15"/>
      <c r="L15"/>
      <c r="M15"/>
    </row>
    <row r="16" spans="1:103">
      <c r="A16" s="28">
        <v>5684</v>
      </c>
      <c r="B16" s="29">
        <f>IF(Bases!D16&gt;DATE(2025,12,31),0,
((YEAR(DATE(2025,12,31))-YEAR(Bases!D16))*12 + (MONTH(DATE(2025,12,31))-MONTH(Bases!D16)) + 1) * Bases!H16)</f>
        <v>899.1</v>
      </c>
      <c r="D16"/>
      <c r="E16"/>
      <c r="F16"/>
      <c r="H16"/>
      <c r="I16"/>
      <c r="J16"/>
      <c r="K16"/>
      <c r="L16"/>
      <c r="M16"/>
    </row>
    <row r="17" spans="1:13">
      <c r="A17" s="28">
        <v>5685</v>
      </c>
      <c r="B17" s="29">
        <f>IF(Bases!D17&gt;DATE(2025,12,31),0,
((YEAR(DATE(2025,12,31))-YEAR(Bases!D17))*12 + (MONTH(DATE(2025,12,31))-MONTH(Bases!D17)) + 1) * Bases!H17)</f>
        <v>804.30000000000007</v>
      </c>
      <c r="D17"/>
      <c r="E17"/>
      <c r="F17"/>
      <c r="H17"/>
      <c r="I17"/>
      <c r="J17"/>
      <c r="K17"/>
      <c r="L17"/>
      <c r="M17"/>
    </row>
    <row r="18" spans="1:13">
      <c r="A18" s="28">
        <v>5686</v>
      </c>
      <c r="B18" s="29">
        <f>IF(Bases!D18&gt;DATE(2025,12,31),0,
((YEAR(DATE(2025,12,31))-YEAR(Bases!D18))*12 + (MONTH(DATE(2025,12,31))-MONTH(Bases!D18)) + 1) * Bases!H18)</f>
        <v>49.9</v>
      </c>
      <c r="D18"/>
      <c r="E18"/>
      <c r="F18"/>
      <c r="H18"/>
      <c r="I18"/>
      <c r="J18"/>
      <c r="K18"/>
      <c r="L18"/>
      <c r="M18"/>
    </row>
    <row r="19" spans="1:13">
      <c r="A19" s="28">
        <v>5687</v>
      </c>
      <c r="B19" s="29">
        <f>IF(Bases!D19&gt;DATE(2025,12,31),0,
((YEAR(DATE(2025,12,31))-YEAR(Bases!D19))*12 + (MONTH(DATE(2025,12,31))-MONTH(Bases!D19)) + 1) * Bases!H19)</f>
        <v>598.79999999999995</v>
      </c>
      <c r="D19"/>
      <c r="E19"/>
      <c r="F19"/>
      <c r="H19"/>
      <c r="I19"/>
      <c r="J19"/>
      <c r="K19"/>
      <c r="L19"/>
      <c r="M19"/>
    </row>
    <row r="20" spans="1:13">
      <c r="A20" s="28">
        <v>5688</v>
      </c>
      <c r="B20" s="29">
        <f>IF(Bases!D20&gt;DATE(2025,12,31),0,
((YEAR(DATE(2025,12,31))-YEAR(Bases!D20))*12 + (MONTH(DATE(2025,12,31))-MONTH(Bases!D20)) + 1) * Bases!H20)</f>
        <v>199.6</v>
      </c>
      <c r="D20"/>
      <c r="E20"/>
      <c r="F20"/>
      <c r="H20"/>
      <c r="I20"/>
      <c r="J20"/>
      <c r="K20"/>
      <c r="L20"/>
      <c r="M20"/>
    </row>
    <row r="21" spans="1:13">
      <c r="A21" s="28">
        <v>5689</v>
      </c>
      <c r="B21" s="29">
        <f>IF(Bases!D21&gt;DATE(2025,12,31),0,
((YEAR(DATE(2025,12,31))-YEAR(Bases!D21))*12 + (MONTH(DATE(2025,12,31))-MONTH(Bases!D21)) + 1) * Bases!H21)</f>
        <v>804.30000000000007</v>
      </c>
      <c r="D21"/>
      <c r="E21"/>
      <c r="F21"/>
      <c r="H21"/>
      <c r="I21"/>
      <c r="J21"/>
      <c r="K21"/>
      <c r="L21"/>
      <c r="M21"/>
    </row>
    <row r="22" spans="1:13">
      <c r="A22" s="28">
        <v>5690</v>
      </c>
      <c r="B22" s="29">
        <f>IF(Bases!D22&gt;DATE(2025,12,31),0,
((YEAR(DATE(2025,12,31))-YEAR(Bases!D22))*12 + (MONTH(DATE(2025,12,31))-MONTH(Bases!D22)) + 1) * Bases!H22)</f>
        <v>1263.9000000000001</v>
      </c>
      <c r="D22"/>
      <c r="E22"/>
      <c r="F22"/>
      <c r="H22"/>
      <c r="I22"/>
      <c r="J22"/>
      <c r="K22"/>
      <c r="L22"/>
      <c r="M22"/>
    </row>
    <row r="23" spans="1:13">
      <c r="A23" s="28">
        <v>5691</v>
      </c>
      <c r="B23" s="29">
        <f>IF(Bases!D23&gt;DATE(2025,12,31),0,
((YEAR(DATE(2025,12,31))-YEAR(Bases!D23))*12 + (MONTH(DATE(2025,12,31))-MONTH(Bases!D23)) + 1) * Bases!H23)</f>
        <v>229.8</v>
      </c>
      <c r="D23"/>
      <c r="E23"/>
      <c r="F23"/>
      <c r="H23"/>
      <c r="I23"/>
      <c r="J23"/>
      <c r="K23"/>
      <c r="L23"/>
      <c r="M23"/>
    </row>
    <row r="24" spans="1:13">
      <c r="A24" s="28">
        <v>5692</v>
      </c>
      <c r="B24" s="29">
        <f>IF(Bases!D24&gt;DATE(2025,12,31),0,
((YEAR(DATE(2025,12,31))-YEAR(Bases!D24))*12 + (MONTH(DATE(2025,12,31))-MONTH(Bases!D24)) + 1) * Bases!H24)</f>
        <v>999</v>
      </c>
      <c r="D24"/>
      <c r="E24"/>
      <c r="F24"/>
      <c r="H24"/>
      <c r="I24"/>
      <c r="J24"/>
      <c r="K24"/>
      <c r="L24"/>
      <c r="M24"/>
    </row>
    <row r="25" spans="1:13">
      <c r="A25" s="28">
        <v>5693</v>
      </c>
      <c r="B25" s="29">
        <f>IF(Bases!D25&gt;DATE(2025,12,31),0,
((YEAR(DATE(2025,12,31))-YEAR(Bases!D25))*12 + (MONTH(DATE(2025,12,31))-MONTH(Bases!D25)) + 1) * Bases!H25)</f>
        <v>689.40000000000009</v>
      </c>
      <c r="D25"/>
      <c r="E25"/>
      <c r="F25"/>
      <c r="K25"/>
      <c r="L25"/>
      <c r="M25"/>
    </row>
    <row r="26" spans="1:13">
      <c r="A26" s="28">
        <v>5694</v>
      </c>
      <c r="B26" s="29">
        <f>IF(Bases!D26&gt;DATE(2025,12,31),0,
((YEAR(DATE(2025,12,31))-YEAR(Bases!D26))*12 + (MONTH(DATE(2025,12,31))-MONTH(Bases!D26)) + 1) * Bases!H26)</f>
        <v>899.1</v>
      </c>
      <c r="D26"/>
      <c r="E26"/>
      <c r="F26"/>
      <c r="K26"/>
      <c r="L26"/>
      <c r="M26"/>
    </row>
    <row r="27" spans="1:13">
      <c r="A27" s="28">
        <v>5695</v>
      </c>
      <c r="B27" s="29">
        <f>IF(Bases!D27&gt;DATE(2025,12,31),0,
((YEAR(DATE(2025,12,31))-YEAR(Bases!D27))*12 + (MONTH(DATE(2025,12,31))-MONTH(Bases!D27)) + 1) * Bases!H27)</f>
        <v>479.2</v>
      </c>
      <c r="D27" t="s">
        <v>130</v>
      </c>
      <c r="E27"/>
      <c r="F27"/>
      <c r="K27"/>
      <c r="L27"/>
      <c r="M27"/>
    </row>
    <row r="28" spans="1:13">
      <c r="A28" s="28">
        <v>5696</v>
      </c>
      <c r="B28" s="29">
        <f>IF(Bases!D28&gt;DATE(2025,12,31),0,
((YEAR(DATE(2025,12,31))-YEAR(Bases!D28))*12 + (MONTH(DATE(2025,12,31))-MONTH(Bases!D28)) + 1) * Bases!H28)</f>
        <v>49.9</v>
      </c>
      <c r="D28" s="7">
        <v>28210.199999999997</v>
      </c>
      <c r="E28"/>
      <c r="F28"/>
      <c r="K28"/>
      <c r="L28"/>
      <c r="M28"/>
    </row>
    <row r="29" spans="1:13">
      <c r="A29" s="28">
        <v>5697</v>
      </c>
      <c r="B29" s="29">
        <f>IF(Bases!D29&gt;DATE(2025,12,31),0,
((YEAR(DATE(2025,12,31))-YEAR(Bases!D29))*12 + (MONTH(DATE(2025,12,31))-MONTH(Bases!D29)) + 1) * Bases!H29)</f>
        <v>1378.8000000000002</v>
      </c>
      <c r="D29"/>
      <c r="E29"/>
      <c r="F29"/>
      <c r="K29"/>
      <c r="L29"/>
      <c r="M29"/>
    </row>
    <row r="30" spans="1:13">
      <c r="A30" s="28">
        <v>5698</v>
      </c>
      <c r="B30" s="29">
        <f>IF(Bases!D30&gt;DATE(2025,12,31),0,
((YEAR(DATE(2025,12,31))-YEAR(Bases!D30))*12 + (MONTH(DATE(2025,12,31))-MONTH(Bases!D30)) + 1) * Bases!H30)</f>
        <v>199.6</v>
      </c>
      <c r="D30"/>
      <c r="E30"/>
      <c r="F30"/>
      <c r="K30"/>
      <c r="L30"/>
      <c r="M30"/>
    </row>
    <row r="31" spans="1:13">
      <c r="A31" s="28">
        <v>5699</v>
      </c>
      <c r="B31" s="29">
        <f>IF(Bases!D31&gt;DATE(2025,12,31),0,
((YEAR(DATE(2025,12,31))-YEAR(Bases!D31))*12 + (MONTH(DATE(2025,12,31))-MONTH(Bases!D31)) + 1) * Bases!H31)</f>
        <v>419.3</v>
      </c>
      <c r="D31"/>
      <c r="E31"/>
      <c r="F31"/>
    </row>
    <row r="32" spans="1:13">
      <c r="A32" s="28">
        <v>5700</v>
      </c>
      <c r="B32" s="29">
        <f>IF(Bases!D32&gt;DATE(2025,12,31),0,
((YEAR(DATE(2025,12,31))-YEAR(Bases!D32))*12 + (MONTH(DATE(2025,12,31))-MONTH(Bases!D32)) + 1) * Bases!H32)</f>
        <v>1098.9000000000001</v>
      </c>
      <c r="D32"/>
      <c r="E32"/>
      <c r="F32"/>
    </row>
    <row r="33" spans="1:6">
      <c r="A33" s="28">
        <v>5701</v>
      </c>
      <c r="B33" s="29">
        <f>IF(Bases!D33&gt;DATE(2025,12,31),0,
((YEAR(DATE(2025,12,31))-YEAR(Bases!D33))*12 + (MONTH(DATE(2025,12,31))-MONTH(Bases!D33)) + 1) * Bases!H33)</f>
        <v>99.8</v>
      </c>
      <c r="D33"/>
      <c r="E33"/>
      <c r="F33"/>
    </row>
    <row r="34" spans="1:6">
      <c r="A34" s="28">
        <v>5702</v>
      </c>
      <c r="B34" s="29">
        <f>IF(Bases!D34&gt;DATE(2025,12,31),0,
((YEAR(DATE(2025,12,31))-YEAR(Bases!D34))*12 + (MONTH(DATE(2025,12,31))-MONTH(Bases!D34)) + 1) * Bases!H34)</f>
        <v>499</v>
      </c>
      <c r="D34"/>
      <c r="E34"/>
      <c r="F34"/>
    </row>
    <row r="35" spans="1:6">
      <c r="A35" s="28">
        <v>5703</v>
      </c>
      <c r="B35" s="29">
        <f>IF(Bases!D35&gt;DATE(2025,12,31),0,
((YEAR(DATE(2025,12,31))-YEAR(Bases!D35))*12 + (MONTH(DATE(2025,12,31))-MONTH(Bases!D35)) + 1) * Bases!H35)</f>
        <v>299.39999999999998</v>
      </c>
      <c r="D35"/>
      <c r="E35"/>
      <c r="F35"/>
    </row>
    <row r="36" spans="1:6">
      <c r="A36" s="28">
        <v>5704</v>
      </c>
      <c r="B36" s="29">
        <f>IF(Bases!D36&gt;DATE(2025,12,31),0,
((YEAR(DATE(2025,12,31))-YEAR(Bases!D36))*12 + (MONTH(DATE(2025,12,31))-MONTH(Bases!D36)) + 1) * Bases!H36)</f>
        <v>1034.1000000000001</v>
      </c>
      <c r="D36"/>
      <c r="E36"/>
      <c r="F36"/>
    </row>
    <row r="37" spans="1:6">
      <c r="A37" s="28">
        <v>5705</v>
      </c>
      <c r="B37" s="29">
        <f>IF(Bases!D37&gt;DATE(2025,12,31),0,
((YEAR(DATE(2025,12,31))-YEAR(Bases!D37))*12 + (MONTH(DATE(2025,12,31))-MONTH(Bases!D37)) + 1) * Bases!H37)</f>
        <v>799.2</v>
      </c>
      <c r="D37"/>
      <c r="E37"/>
      <c r="F37"/>
    </row>
    <row r="38" spans="1:6">
      <c r="A38" s="28">
        <v>5706</v>
      </c>
      <c r="B38" s="29">
        <f>IF(Bases!D38&gt;DATE(2025,12,31),0,
((YEAR(DATE(2025,12,31))-YEAR(Bases!D38))*12 + (MONTH(DATE(2025,12,31))-MONTH(Bases!D38)) + 1) * Bases!H38)</f>
        <v>99.9</v>
      </c>
      <c r="D38"/>
      <c r="E38"/>
      <c r="F38"/>
    </row>
    <row r="39" spans="1:6">
      <c r="A39" s="28">
        <v>5707</v>
      </c>
      <c r="B39" s="29">
        <f>IF(Bases!D39&gt;DATE(2025,12,31),0,
((YEAR(DATE(2025,12,31))-YEAR(Bases!D39))*12 + (MONTH(DATE(2025,12,31))-MONTH(Bases!D39)) + 1) * Bases!H39)</f>
        <v>718.8</v>
      </c>
      <c r="D39"/>
      <c r="E39"/>
      <c r="F39"/>
    </row>
    <row r="40" spans="1:6">
      <c r="A40" s="28">
        <v>5708</v>
      </c>
      <c r="B40" s="29">
        <f>IF(Bases!D40&gt;DATE(2025,12,31),0,
((YEAR(DATE(2025,12,31))-YEAR(Bases!D40))*12 + (MONTH(DATE(2025,12,31))-MONTH(Bases!D40)) + 1) * Bases!H40)</f>
        <v>199.6</v>
      </c>
      <c r="D40"/>
      <c r="E40"/>
      <c r="F40"/>
    </row>
    <row r="41" spans="1:6">
      <c r="A41" s="28">
        <v>5709</v>
      </c>
      <c r="B41" s="29">
        <f>IF(Bases!D41&gt;DATE(2025,12,31),0,
((YEAR(DATE(2025,12,31))-YEAR(Bases!D41))*12 + (MONTH(DATE(2025,12,31))-MONTH(Bases!D41)) + 1) * Bases!H41)</f>
        <v>349.3</v>
      </c>
      <c r="D41"/>
      <c r="E41"/>
      <c r="F41"/>
    </row>
    <row r="42" spans="1:6">
      <c r="A42" s="28">
        <v>5710</v>
      </c>
      <c r="B42" s="29">
        <f>IF(Bases!D42&gt;DATE(2025,12,31),0,
((YEAR(DATE(2025,12,31))-YEAR(Bases!D42))*12 + (MONTH(DATE(2025,12,31))-MONTH(Bases!D42)) + 1) * Bases!H42)</f>
        <v>548.9</v>
      </c>
      <c r="D42"/>
      <c r="E42"/>
      <c r="F42"/>
    </row>
    <row r="43" spans="1:6">
      <c r="A43" s="28">
        <v>5711</v>
      </c>
      <c r="B43" s="29">
        <f>IF(Bases!D43&gt;DATE(2025,12,31),0,
((YEAR(DATE(2025,12,31))-YEAR(Bases!D43))*12 + (MONTH(DATE(2025,12,31))-MONTH(Bases!D43)) + 1) * Bases!H43)</f>
        <v>229.8</v>
      </c>
      <c r="D43"/>
      <c r="E43"/>
      <c r="F43"/>
    </row>
    <row r="44" spans="1:6">
      <c r="A44" s="28">
        <v>5712</v>
      </c>
      <c r="B44" s="29">
        <f>IF(Bases!D44&gt;DATE(2025,12,31),0,
((YEAR(DATE(2025,12,31))-YEAR(Bases!D44))*12 + (MONTH(DATE(2025,12,31))-MONTH(Bases!D44)) + 1) * Bases!H44)</f>
        <v>1149</v>
      </c>
      <c r="D44"/>
      <c r="E44"/>
      <c r="F44"/>
    </row>
    <row r="45" spans="1:6">
      <c r="A45" s="28">
        <v>5713</v>
      </c>
      <c r="B45" s="29">
        <f>IF(Bases!D45&gt;DATE(2025,12,31),0,
((YEAR(DATE(2025,12,31))-YEAR(Bases!D45))*12 + (MONTH(DATE(2025,12,31))-MONTH(Bases!D45)) + 1) * Bases!H45)</f>
        <v>299.39999999999998</v>
      </c>
      <c r="D45"/>
      <c r="E45"/>
      <c r="F45"/>
    </row>
    <row r="46" spans="1:6">
      <c r="A46" s="28">
        <v>5714</v>
      </c>
      <c r="B46" s="29">
        <f>IF(Bases!D46&gt;DATE(2025,12,31),0,
((YEAR(DATE(2025,12,31))-YEAR(Bases!D46))*12 + (MONTH(DATE(2025,12,31))-MONTH(Bases!D46)) + 1) * Bases!H46)</f>
        <v>539.1</v>
      </c>
      <c r="D46"/>
      <c r="E46"/>
      <c r="F46"/>
    </row>
    <row r="47" spans="1:6">
      <c r="A47" s="28">
        <v>5715</v>
      </c>
      <c r="B47" s="29">
        <f>IF(Bases!D47&gt;DATE(2025,12,31),0,
((YEAR(DATE(2025,12,31))-YEAR(Bases!D47))*12 + (MONTH(DATE(2025,12,31))-MONTH(Bases!D47)) + 1) * Bases!H47)</f>
        <v>399.2</v>
      </c>
      <c r="D47"/>
      <c r="E47"/>
      <c r="F47"/>
    </row>
    <row r="48" spans="1:6">
      <c r="A48" s="28">
        <v>5716</v>
      </c>
      <c r="B48" s="29">
        <f>IF(Bases!D48&gt;DATE(2025,12,31),0,
((YEAR(DATE(2025,12,31))-YEAR(Bases!D48))*12 + (MONTH(DATE(2025,12,31))-MONTH(Bases!D48)) + 1) * Bases!H48)</f>
        <v>114.9</v>
      </c>
      <c r="D48"/>
      <c r="E48"/>
      <c r="F48"/>
    </row>
    <row r="49" spans="1:6">
      <c r="A49" s="28">
        <v>5717</v>
      </c>
      <c r="B49" s="29">
        <f>IF(Bases!D49&gt;DATE(2025,12,31),0,
((YEAR(DATE(2025,12,31))-YEAR(Bases!D49))*12 + (MONTH(DATE(2025,12,31))-MONTH(Bases!D49)) + 1) * Bases!H49)</f>
        <v>1198.8000000000002</v>
      </c>
      <c r="D49"/>
      <c r="E49"/>
      <c r="F49"/>
    </row>
    <row r="50" spans="1:6">
      <c r="A50" s="28">
        <v>5718</v>
      </c>
      <c r="B50" s="29">
        <f>IF(Bases!D50&gt;DATE(2025,12,31),0,
((YEAR(DATE(2025,12,31))-YEAR(Bases!D50))*12 + (MONTH(DATE(2025,12,31))-MONTH(Bases!D50)) + 1) * Bases!H50)</f>
        <v>459.6</v>
      </c>
      <c r="D50"/>
      <c r="E50"/>
      <c r="F50"/>
    </row>
    <row r="51" spans="1:6">
      <c r="A51" s="28">
        <v>5719</v>
      </c>
      <c r="B51" s="29">
        <f>IF(Bases!D51&gt;DATE(2025,12,31),0,
((YEAR(DATE(2025,12,31))-YEAR(Bases!D51))*12 + (MONTH(DATE(2025,12,31))-MONTH(Bases!D51)) + 1) * Bases!H51)</f>
        <v>699.30000000000007</v>
      </c>
      <c r="D51"/>
      <c r="E51"/>
      <c r="F51"/>
    </row>
    <row r="52" spans="1:6">
      <c r="A52" s="28">
        <v>5720</v>
      </c>
      <c r="B52" s="29">
        <f>IF(Bases!D52&gt;DATE(2025,12,31),0,
((YEAR(DATE(2025,12,31))-YEAR(Bases!D52))*12 + (MONTH(DATE(2025,12,31))-MONTH(Bases!D52)) + 1) * Bases!H52)</f>
        <v>1263.9000000000001</v>
      </c>
      <c r="D52"/>
      <c r="E52"/>
      <c r="F52"/>
    </row>
    <row r="53" spans="1:6">
      <c r="A53" s="28">
        <v>5721</v>
      </c>
      <c r="B53" s="29">
        <f>IF(Bases!D53&gt;DATE(2025,12,31),0,
((YEAR(DATE(2025,12,31))-YEAR(Bases!D53))*12 + (MONTH(DATE(2025,12,31))-MONTH(Bases!D53)) + 1) * Bases!H53)</f>
        <v>199.8</v>
      </c>
      <c r="D53"/>
      <c r="E53"/>
      <c r="F53"/>
    </row>
    <row r="54" spans="1:6">
      <c r="A54" s="28">
        <v>5722</v>
      </c>
      <c r="B54" s="29">
        <f>IF(Bases!D54&gt;DATE(2025,12,31),0,
((YEAR(DATE(2025,12,31))-YEAR(Bases!D54))*12 + (MONTH(DATE(2025,12,31))-MONTH(Bases!D54)) + 1) * Bases!H54)</f>
        <v>499</v>
      </c>
      <c r="D54"/>
      <c r="E54"/>
      <c r="F54"/>
    </row>
    <row r="55" spans="1:6">
      <c r="A55" s="28">
        <v>5723</v>
      </c>
      <c r="B55" s="29">
        <f>IF(Bases!D55&gt;DATE(2025,12,31),0,
((YEAR(DATE(2025,12,31))-YEAR(Bases!D55))*12 + (MONTH(DATE(2025,12,31))-MONTH(Bases!D55)) + 1) * Bases!H55)</f>
        <v>299.39999999999998</v>
      </c>
      <c r="D55"/>
      <c r="E55"/>
      <c r="F55"/>
    </row>
    <row r="56" spans="1:6">
      <c r="A56" s="28">
        <v>5724</v>
      </c>
      <c r="B56" s="29">
        <f>IF(Bases!D56&gt;DATE(2025,12,31),0,
((YEAR(DATE(2025,12,31))-YEAR(Bases!D56))*12 + (MONTH(DATE(2025,12,31))-MONTH(Bases!D56)) + 1) * Bases!H56)</f>
        <v>899.1</v>
      </c>
      <c r="D56"/>
      <c r="E56"/>
      <c r="F56"/>
    </row>
    <row r="57" spans="1:6">
      <c r="A57" s="28">
        <v>5725</v>
      </c>
      <c r="B57" s="29">
        <f>IF(Bases!D57&gt;DATE(2025,12,31),0,
((YEAR(DATE(2025,12,31))-YEAR(Bases!D57))*12 + (MONTH(DATE(2025,12,31))-MONTH(Bases!D57)) + 1) * Bases!H57)</f>
        <v>479.2</v>
      </c>
      <c r="D57"/>
      <c r="E57"/>
      <c r="F57"/>
    </row>
    <row r="58" spans="1:6">
      <c r="A58" s="28">
        <v>5726</v>
      </c>
      <c r="B58" s="29">
        <f>IF(Bases!D58&gt;DATE(2025,12,31),0,
((YEAR(DATE(2025,12,31))-YEAR(Bases!D58))*12 + (MONTH(DATE(2025,12,31))-MONTH(Bases!D58)) + 1) * Bases!H58)</f>
        <v>49.9</v>
      </c>
      <c r="D58"/>
      <c r="E58"/>
      <c r="F58"/>
    </row>
    <row r="59" spans="1:6">
      <c r="A59" s="28">
        <v>5727</v>
      </c>
      <c r="B59" s="29">
        <f>IF(Bases!D59&gt;DATE(2025,12,31),0,
((YEAR(DATE(2025,12,31))-YEAR(Bases!D59))*12 + (MONTH(DATE(2025,12,31))-MONTH(Bases!D59)) + 1) * Bases!H59)</f>
        <v>1198.8000000000002</v>
      </c>
      <c r="D59"/>
      <c r="E59"/>
      <c r="F59"/>
    </row>
    <row r="60" spans="1:6">
      <c r="A60" s="28">
        <v>5728</v>
      </c>
      <c r="B60" s="29">
        <f>IF(Bases!D60&gt;DATE(2025,12,31),0,
((YEAR(DATE(2025,12,31))-YEAR(Bases!D60))*12 + (MONTH(DATE(2025,12,31))-MONTH(Bases!D60)) + 1) * Bases!H60)</f>
        <v>239.6</v>
      </c>
      <c r="D60"/>
      <c r="E60"/>
      <c r="F60"/>
    </row>
    <row r="61" spans="1:6">
      <c r="A61" s="28">
        <v>5729</v>
      </c>
      <c r="B61" s="29">
        <f>IF(Bases!D61&gt;DATE(2025,12,31),0,
((YEAR(DATE(2025,12,31))-YEAR(Bases!D61))*12 + (MONTH(DATE(2025,12,31))-MONTH(Bases!D61)) + 1) * Bases!H61)</f>
        <v>349.3</v>
      </c>
      <c r="D61"/>
      <c r="E61"/>
      <c r="F61"/>
    </row>
    <row r="62" spans="1:6">
      <c r="A62" s="28">
        <v>5730</v>
      </c>
      <c r="B62" s="29">
        <f>IF(Bases!D62&gt;DATE(2025,12,31),0,
((YEAR(DATE(2025,12,31))-YEAR(Bases!D62))*12 + (MONTH(DATE(2025,12,31))-MONTH(Bases!D62)) + 1) * Bases!H62)</f>
        <v>548.9</v>
      </c>
      <c r="D62"/>
      <c r="E62"/>
      <c r="F62"/>
    </row>
    <row r="63" spans="1:6">
      <c r="A63" s="28">
        <v>5731</v>
      </c>
      <c r="B63" s="29">
        <f>IF(Bases!D63&gt;DATE(2025,12,31),0,
((YEAR(DATE(2025,12,31))-YEAR(Bases!D63))*12 + (MONTH(DATE(2025,12,31))-MONTH(Bases!D63)) + 1) * Bases!H63)</f>
        <v>199.8</v>
      </c>
      <c r="D63"/>
      <c r="E63"/>
      <c r="F63"/>
    </row>
    <row r="64" spans="1:6">
      <c r="A64" s="28">
        <v>5732</v>
      </c>
      <c r="B64" s="29">
        <f>IF(Bases!D64&gt;DATE(2025,12,31),0,
((YEAR(DATE(2025,12,31))-YEAR(Bases!D64))*12 + (MONTH(DATE(2025,12,31))-MONTH(Bases!D64)) + 1) * Bases!H64)</f>
        <v>1149</v>
      </c>
      <c r="D64"/>
      <c r="E64"/>
      <c r="F64"/>
    </row>
    <row r="65" spans="1:6">
      <c r="A65" s="28">
        <v>5733</v>
      </c>
      <c r="B65" s="29">
        <f>IF(Bases!D65&gt;DATE(2025,12,31),0,
((YEAR(DATE(2025,12,31))-YEAR(Bases!D65))*12 + (MONTH(DATE(2025,12,31))-MONTH(Bases!D65)) + 1) * Bases!H65)</f>
        <v>689.40000000000009</v>
      </c>
      <c r="D65"/>
      <c r="E65"/>
      <c r="F65"/>
    </row>
    <row r="66" spans="1:6">
      <c r="A66" s="28">
        <v>5734</v>
      </c>
      <c r="B66" s="29">
        <f>IF(Bases!D66&gt;DATE(2025,12,31),0,
((YEAR(DATE(2025,12,31))-YEAR(Bases!D66))*12 + (MONTH(DATE(2025,12,31))-MONTH(Bases!D66)) + 1) * Bases!H66)</f>
        <v>539.1</v>
      </c>
      <c r="D66"/>
      <c r="E66"/>
      <c r="F66"/>
    </row>
    <row r="67" spans="1:6">
      <c r="A67" s="28">
        <v>5735</v>
      </c>
      <c r="B67" s="29">
        <f>IF(Bases!D67&gt;DATE(2025,12,31),0,
((YEAR(DATE(2025,12,31))-YEAR(Bases!D67))*12 + (MONTH(DATE(2025,12,31))-MONTH(Bases!D67)) + 1) * Bases!H67)</f>
        <v>399.2</v>
      </c>
      <c r="D67"/>
      <c r="E67"/>
      <c r="F67"/>
    </row>
    <row r="68" spans="1:6">
      <c r="A68" s="28">
        <v>5736</v>
      </c>
      <c r="B68" s="29">
        <f>IF(Bases!D68&gt;DATE(2025,12,31),0,
((YEAR(DATE(2025,12,31))-YEAR(Bases!D68))*12 + (MONTH(DATE(2025,12,31))-MONTH(Bases!D68)) + 1) * Bases!H68)</f>
        <v>59.9</v>
      </c>
      <c r="D68"/>
      <c r="E68"/>
      <c r="F68"/>
    </row>
    <row r="69" spans="1:6">
      <c r="A69" s="28">
        <v>5737</v>
      </c>
      <c r="B69" s="29">
        <f>IF(Bases!D69&gt;DATE(2025,12,31),0,
((YEAR(DATE(2025,12,31))-YEAR(Bases!D69))*12 + (MONTH(DATE(2025,12,31))-MONTH(Bases!D69)) + 1) * Bases!H69)</f>
        <v>598.79999999999995</v>
      </c>
      <c r="D69"/>
      <c r="E69"/>
      <c r="F69"/>
    </row>
    <row r="70" spans="1:6">
      <c r="A70" s="28">
        <v>5738</v>
      </c>
      <c r="B70" s="29">
        <f>IF(Bases!D70&gt;DATE(2025,12,31),0,
((YEAR(DATE(2025,12,31))-YEAR(Bases!D70))*12 + (MONTH(DATE(2025,12,31))-MONTH(Bases!D70)) + 1) * Bases!H70)</f>
        <v>459.6</v>
      </c>
      <c r="D70"/>
      <c r="E70"/>
      <c r="F70"/>
    </row>
    <row r="71" spans="1:6">
      <c r="A71" s="28">
        <v>5739</v>
      </c>
      <c r="B71" s="29">
        <f>IF(Bases!D71&gt;DATE(2025,12,31),0,
((YEAR(DATE(2025,12,31))-YEAR(Bases!D71))*12 + (MONTH(DATE(2025,12,31))-MONTH(Bases!D71)) + 1) * Bases!H71)</f>
        <v>699.30000000000007</v>
      </c>
      <c r="D71"/>
      <c r="E71"/>
      <c r="F71"/>
    </row>
    <row r="72" spans="1:6">
      <c r="A72" s="28">
        <v>5740</v>
      </c>
      <c r="B72" s="29">
        <f>IF(Bases!D72&gt;DATE(2025,12,31),0,
((YEAR(DATE(2025,12,31))-YEAR(Bases!D72))*12 + (MONTH(DATE(2025,12,31))-MONTH(Bases!D72)) + 1) * Bases!H72)</f>
        <v>658.9</v>
      </c>
      <c r="D72"/>
      <c r="E72"/>
      <c r="F72"/>
    </row>
    <row r="73" spans="1:6">
      <c r="A73" s="28">
        <v>5741</v>
      </c>
      <c r="B73" s="29">
        <f>IF(Bases!D73&gt;DATE(2025,12,31),0,
((YEAR(DATE(2025,12,31))-YEAR(Bases!D73))*12 + (MONTH(DATE(2025,12,31))-MONTH(Bases!D73)) + 1) * Bases!H73)</f>
        <v>99.8</v>
      </c>
      <c r="D73"/>
      <c r="E73"/>
      <c r="F73"/>
    </row>
    <row r="74" spans="1:6">
      <c r="A74" s="28">
        <v>5742</v>
      </c>
      <c r="B74" s="29">
        <f>IF(Bases!D74&gt;DATE(2025,12,31),0,
((YEAR(DATE(2025,12,31))-YEAR(Bases!D74))*12 + (MONTH(DATE(2025,12,31))-MONTH(Bases!D74)) + 1) * Bases!H74)</f>
        <v>599</v>
      </c>
      <c r="D74"/>
      <c r="E74"/>
      <c r="F74"/>
    </row>
    <row r="75" spans="1:6">
      <c r="A75" s="28">
        <v>5743</v>
      </c>
      <c r="B75" s="29">
        <f>IF(Bases!D75&gt;DATE(2025,12,31),0,
((YEAR(DATE(2025,12,31))-YEAR(Bases!D75))*12 + (MONTH(DATE(2025,12,31))-MONTH(Bases!D75)) + 1) * Bases!H75)</f>
        <v>599.40000000000009</v>
      </c>
      <c r="D75"/>
      <c r="E75"/>
      <c r="F75"/>
    </row>
    <row r="76" spans="1:6">
      <c r="A76" s="28">
        <v>5744</v>
      </c>
      <c r="B76" s="29">
        <f>IF(Bases!D76&gt;DATE(2025,12,31),0,
((YEAR(DATE(2025,12,31))-YEAR(Bases!D76))*12 + (MONTH(DATE(2025,12,31))-MONTH(Bases!D76)) + 1) * Bases!H76)</f>
        <v>899.1</v>
      </c>
      <c r="D76"/>
      <c r="E76"/>
      <c r="F76"/>
    </row>
    <row r="77" spans="1:6">
      <c r="A77" s="28">
        <v>5745</v>
      </c>
      <c r="B77" s="29">
        <f>IF(Bases!D77&gt;DATE(2025,12,31),0,
((YEAR(DATE(2025,12,31))-YEAR(Bases!D77))*12 + (MONTH(DATE(2025,12,31))-MONTH(Bases!D77)) + 1) * Bases!H77)</f>
        <v>799.2</v>
      </c>
      <c r="D77"/>
      <c r="E77"/>
      <c r="F77"/>
    </row>
    <row r="78" spans="1:6">
      <c r="A78" s="28">
        <v>5746</v>
      </c>
      <c r="B78" s="29">
        <f>IF(Bases!D78&gt;DATE(2025,12,31),0,
((YEAR(DATE(2025,12,31))-YEAR(Bases!D78))*12 + (MONTH(DATE(2025,12,31))-MONTH(Bases!D78)) + 1) * Bases!H78)</f>
        <v>99.9</v>
      </c>
      <c r="D78"/>
      <c r="E78"/>
      <c r="F78"/>
    </row>
    <row r="79" spans="1:6">
      <c r="A79" s="28">
        <v>5747</v>
      </c>
      <c r="B79" s="29">
        <f>IF(Bases!D79&gt;DATE(2025,12,31),0,
((YEAR(DATE(2025,12,31))-YEAR(Bases!D79))*12 + (MONTH(DATE(2025,12,31))-MONTH(Bases!D79)) + 1) * Bases!H79)</f>
        <v>1378.8000000000002</v>
      </c>
      <c r="D79"/>
      <c r="E79"/>
      <c r="F79"/>
    </row>
    <row r="80" spans="1:6">
      <c r="A80" s="28">
        <v>5748</v>
      </c>
      <c r="B80" s="29">
        <f>IF(Bases!D80&gt;DATE(2025,12,31),0,
((YEAR(DATE(2025,12,31))-YEAR(Bases!D80))*12 + (MONTH(DATE(2025,12,31))-MONTH(Bases!D80)) + 1) * Bases!H80)</f>
        <v>399.6</v>
      </c>
      <c r="D80"/>
      <c r="E80"/>
      <c r="F80"/>
    </row>
    <row r="81" spans="1:6">
      <c r="A81" s="28">
        <v>5749</v>
      </c>
      <c r="B81" s="29">
        <f>IF(Bases!D81&gt;DATE(2025,12,31),0,
((YEAR(DATE(2025,12,31))-YEAR(Bases!D81))*12 + (MONTH(DATE(2025,12,31))-MONTH(Bases!D81)) + 1) * Bases!H81)</f>
        <v>349.3</v>
      </c>
      <c r="D81"/>
      <c r="E81"/>
      <c r="F81"/>
    </row>
    <row r="82" spans="1:6">
      <c r="A82" s="28">
        <v>5750</v>
      </c>
      <c r="B82" s="29">
        <f>IF(Bases!D82&gt;DATE(2025,12,31),0,
((YEAR(DATE(2025,12,31))-YEAR(Bases!D82))*12 + (MONTH(DATE(2025,12,31))-MONTH(Bases!D82)) + 1) * Bases!H82)</f>
        <v>658.9</v>
      </c>
      <c r="D82"/>
      <c r="E82"/>
      <c r="F82"/>
    </row>
    <row r="83" spans="1:6">
      <c r="A83" s="28">
        <v>5751</v>
      </c>
      <c r="B83" s="29">
        <f>IF(Bases!D83&gt;DATE(2025,12,31),0,
((YEAR(DATE(2025,12,31))-YEAR(Bases!D83))*12 + (MONTH(DATE(2025,12,31))-MONTH(Bases!D83)) + 1) * Bases!H83)</f>
        <v>199.8</v>
      </c>
      <c r="D83"/>
      <c r="E83"/>
      <c r="F83"/>
    </row>
    <row r="84" spans="1:6">
      <c r="A84" s="28">
        <v>5752</v>
      </c>
      <c r="B84" s="29">
        <f>IF(Bases!D84&gt;DATE(2025,12,31),0,
((YEAR(DATE(2025,12,31))-YEAR(Bases!D84))*12 + (MONTH(DATE(2025,12,31))-MONTH(Bases!D84)) + 1) * Bases!H84)</f>
        <v>499</v>
      </c>
      <c r="D84"/>
      <c r="E84"/>
      <c r="F84"/>
    </row>
    <row r="85" spans="1:6">
      <c r="A85" s="28">
        <v>5753</v>
      </c>
      <c r="B85" s="29">
        <f>IF(Bases!D85&gt;DATE(2025,12,31),0,
((YEAR(DATE(2025,12,31))-YEAR(Bases!D85))*12 + (MONTH(DATE(2025,12,31))-MONTH(Bases!D85)) + 1) * Bases!H85)</f>
        <v>299.39999999999998</v>
      </c>
      <c r="D85"/>
      <c r="E85"/>
      <c r="F85"/>
    </row>
    <row r="86" spans="1:6">
      <c r="A86" s="28">
        <v>5754</v>
      </c>
      <c r="B86" s="29">
        <f>IF(Bases!D86&gt;DATE(2025,12,31),0,
((YEAR(DATE(2025,12,31))-YEAR(Bases!D86))*12 + (MONTH(DATE(2025,12,31))-MONTH(Bases!D86)) + 1) * Bases!H86)</f>
        <v>1034.1000000000001</v>
      </c>
      <c r="D86"/>
      <c r="E86"/>
      <c r="F86"/>
    </row>
    <row r="87" spans="1:6">
      <c r="A87" s="28">
        <v>5755</v>
      </c>
      <c r="B87" s="29">
        <f>IF(Bases!D87&gt;DATE(2025,12,31),0,
((YEAR(DATE(2025,12,31))-YEAR(Bases!D87))*12 + (MONTH(DATE(2025,12,31))-MONTH(Bases!D87)) + 1) * Bases!H87)</f>
        <v>479.2</v>
      </c>
      <c r="D87"/>
      <c r="E87"/>
      <c r="F87"/>
    </row>
    <row r="88" spans="1:6">
      <c r="A88" s="28">
        <v>5756</v>
      </c>
      <c r="B88" s="29">
        <f>IF(Bases!D88&gt;DATE(2025,12,31),0,
((YEAR(DATE(2025,12,31))-YEAR(Bases!D88))*12 + (MONTH(DATE(2025,12,31))-MONTH(Bases!D88)) + 1) * Bases!H88)</f>
        <v>59.9</v>
      </c>
      <c r="D88"/>
      <c r="E88"/>
      <c r="F88"/>
    </row>
    <row r="89" spans="1:6">
      <c r="A89" s="28">
        <v>5757</v>
      </c>
      <c r="B89" s="29">
        <f>IF(Bases!D89&gt;DATE(2025,12,31),0,
((YEAR(DATE(2025,12,31))-YEAR(Bases!D89))*12 + (MONTH(DATE(2025,12,31))-MONTH(Bases!D89)) + 1) * Bases!H89)</f>
        <v>598.79999999999995</v>
      </c>
      <c r="D89"/>
      <c r="E89"/>
      <c r="F89"/>
    </row>
    <row r="90" spans="1:6">
      <c r="A90" s="28">
        <v>5758</v>
      </c>
      <c r="B90" s="29">
        <f>IF(Bases!D90&gt;DATE(2025,12,31),0,
((YEAR(DATE(2025,12,31))-YEAR(Bases!D90))*12 + (MONTH(DATE(2025,12,31))-MONTH(Bases!D90)) + 1) * Bases!H90)</f>
        <v>459.6</v>
      </c>
      <c r="D90"/>
      <c r="E90"/>
      <c r="F90"/>
    </row>
    <row r="91" spans="1:6">
      <c r="A91" s="28">
        <v>5759</v>
      </c>
      <c r="B91" s="29">
        <f>IF(Bases!D91&gt;DATE(2025,12,31),0,
((YEAR(DATE(2025,12,31))-YEAR(Bases!D91))*12 + (MONTH(DATE(2025,12,31))-MONTH(Bases!D91)) + 1) * Bases!H91)</f>
        <v>699.30000000000007</v>
      </c>
      <c r="D91"/>
      <c r="E91"/>
      <c r="F91"/>
    </row>
    <row r="92" spans="1:6">
      <c r="A92" s="28">
        <v>5760</v>
      </c>
      <c r="B92" s="29">
        <f>IF(Bases!D92&gt;DATE(2025,12,31),0,
((YEAR(DATE(2025,12,31))-YEAR(Bases!D92))*12 + (MONTH(DATE(2025,12,31))-MONTH(Bases!D92)) + 1) * Bases!H92)</f>
        <v>1263.9000000000001</v>
      </c>
      <c r="D92"/>
      <c r="E92"/>
      <c r="F92"/>
    </row>
    <row r="93" spans="1:6">
      <c r="A93" s="28">
        <v>5761</v>
      </c>
      <c r="B93" s="29">
        <f>IF(Bases!D93&gt;DATE(2025,12,31),0,
((YEAR(DATE(2025,12,31))-YEAR(Bases!D93))*12 + (MONTH(DATE(2025,12,31))-MONTH(Bases!D93)) + 1) * Bases!H93)</f>
        <v>99.8</v>
      </c>
      <c r="D93"/>
      <c r="E93"/>
      <c r="F93"/>
    </row>
    <row r="94" spans="1:6">
      <c r="A94" s="28">
        <v>5762</v>
      </c>
      <c r="B94" s="29">
        <f>IF(Bases!D94&gt;DATE(2025,12,31),0,
((YEAR(DATE(2025,12,31))-YEAR(Bases!D94))*12 + (MONTH(DATE(2025,12,31))-MONTH(Bases!D94)) + 1) * Bases!H94)</f>
        <v>599</v>
      </c>
      <c r="D94"/>
      <c r="E94"/>
      <c r="F94"/>
    </row>
    <row r="95" spans="1:6">
      <c r="A95" s="28">
        <v>5763</v>
      </c>
      <c r="B95" s="29">
        <f>IF(Bases!D95&gt;DATE(2025,12,31),0,
((YEAR(DATE(2025,12,31))-YEAR(Bases!D95))*12 + (MONTH(DATE(2025,12,31))-MONTH(Bases!D95)) + 1) * Bases!H95)</f>
        <v>299.39999999999998</v>
      </c>
      <c r="D95"/>
      <c r="E95"/>
      <c r="F95"/>
    </row>
    <row r="96" spans="1:6">
      <c r="A96" s="28">
        <v>5764</v>
      </c>
      <c r="B96" s="29">
        <f>IF(Bases!D96&gt;DATE(2025,12,31),0,
((YEAR(DATE(2025,12,31))-YEAR(Bases!D96))*12 + (MONTH(DATE(2025,12,31))-MONTH(Bases!D96)) + 1) * Bases!H96)</f>
        <v>539.1</v>
      </c>
      <c r="D96"/>
      <c r="E96"/>
      <c r="F96"/>
    </row>
    <row r="97" spans="1:6">
      <c r="A97" s="28">
        <v>5765</v>
      </c>
      <c r="B97" s="29">
        <f>IF(Bases!D97&gt;DATE(2025,12,31),0,
((YEAR(DATE(2025,12,31))-YEAR(Bases!D97))*12 + (MONTH(DATE(2025,12,31))-MONTH(Bases!D97)) + 1) * Bases!H97)</f>
        <v>799.2</v>
      </c>
      <c r="D97"/>
      <c r="E97"/>
      <c r="F97"/>
    </row>
    <row r="98" spans="1:6">
      <c r="A98" s="28">
        <v>5766</v>
      </c>
      <c r="B98" s="29">
        <f>IF(Bases!D98&gt;DATE(2025,12,31),0,
((YEAR(DATE(2025,12,31))-YEAR(Bases!D98))*12 + (MONTH(DATE(2025,12,31))-MONTH(Bases!D98)) + 1) * Bases!H98)</f>
        <v>99.9</v>
      </c>
      <c r="D98"/>
      <c r="E98"/>
      <c r="F98"/>
    </row>
    <row r="99" spans="1:6">
      <c r="A99" s="28">
        <v>5767</v>
      </c>
      <c r="B99" s="29">
        <f>IF(Bases!D99&gt;DATE(2025,12,31),0,
((YEAR(DATE(2025,12,31))-YEAR(Bases!D99))*12 + (MONTH(DATE(2025,12,31))-MONTH(Bases!D99)) + 1) * Bases!H99)</f>
        <v>598.79999999999995</v>
      </c>
      <c r="D99"/>
      <c r="E99"/>
      <c r="F99"/>
    </row>
    <row r="100" spans="1:6">
      <c r="A100" s="31">
        <v>5768</v>
      </c>
      <c r="B100" s="32">
        <f>IF(Bases!D100&gt;DATE(2025,12,31),0,
((YEAR(DATE(2025,12,31))-YEAR(Bases!D100))*12 + (MONTH(DATE(2025,12,31))-MONTH(Bases!D100)) + 1) * Bases!H100)</f>
        <v>199.6</v>
      </c>
      <c r="D100"/>
      <c r="E100"/>
      <c r="F100"/>
    </row>
    <row r="101" spans="1:6">
      <c r="D101"/>
      <c r="E101"/>
      <c r="F101"/>
    </row>
    <row r="102" spans="1:6">
      <c r="D102"/>
      <c r="E102"/>
      <c r="F102"/>
    </row>
    <row r="103" spans="1:6">
      <c r="D103"/>
      <c r="E103"/>
      <c r="F103"/>
    </row>
    <row r="104" spans="1:6">
      <c r="D104"/>
      <c r="E104"/>
      <c r="F104"/>
    </row>
    <row r="105" spans="1:6">
      <c r="D105"/>
      <c r="E105"/>
      <c r="F105"/>
    </row>
    <row r="106" spans="1:6">
      <c r="D106"/>
      <c r="E106"/>
      <c r="F106"/>
    </row>
    <row r="107" spans="1:6">
      <c r="D107"/>
      <c r="E107"/>
      <c r="F107"/>
    </row>
    <row r="108" spans="1:6">
      <c r="D108"/>
    </row>
    <row r="109" spans="1:6">
      <c r="D109"/>
    </row>
  </sheetData>
  <pageMargins left="0.511811024" right="0.511811024" top="0.78740157499999996" bottom="0.78740157499999996" header="0.31496062000000002" footer="0.31496062000000002"/>
  <drawing r:id="rId6"/>
  <tableParts count="4">
    <tablePart r:id="rId7"/>
    <tablePart r:id="rId8"/>
    <tablePart r:id="rId9"/>
    <tablePart r:id="rId10"/>
  </tableParts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92B2-3359-4772-AD16-48A4123776F7}">
  <dimension ref="A1:Y11"/>
  <sheetViews>
    <sheetView showGridLines="0" showRowColHeaders="0" tabSelected="1" zoomScale="115" zoomScaleNormal="115" workbookViewId="0">
      <selection activeCell="Z6" sqref="Z6"/>
    </sheetView>
  </sheetViews>
  <sheetFormatPr defaultRowHeight="15"/>
  <cols>
    <col min="1" max="1" width="20.28515625" style="4" customWidth="1"/>
    <col min="2" max="23" width="9.140625" style="5"/>
    <col min="24" max="24" width="2.140625" style="5" customWidth="1"/>
    <col min="25" max="25" width="20.28515625" style="4" customWidth="1"/>
    <col min="26" max="16384" width="9.140625" style="1"/>
  </cols>
  <sheetData>
    <row r="1" spans="1:2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" thickBot="1">
      <c r="B2" s="1"/>
      <c r="C2" s="46" t="s">
        <v>128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1"/>
    </row>
    <row r="3" spans="1:24">
      <c r="B3" s="1"/>
      <c r="C3" s="47" t="s">
        <v>129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6" spans="1:24">
      <c r="A6" s="44" t="s">
        <v>127</v>
      </c>
    </row>
    <row r="11" spans="1:24">
      <c r="A11" s="4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 Figueiredo</dc:creator>
  <cp:lastModifiedBy>Jonatha Figueiredo</cp:lastModifiedBy>
  <dcterms:created xsi:type="dcterms:W3CDTF">2026-01-09T12:27:44Z</dcterms:created>
  <dcterms:modified xsi:type="dcterms:W3CDTF">2026-01-11T21:12:13Z</dcterms:modified>
</cp:coreProperties>
</file>